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Brandon" sheetId="2" r:id="rId5"/>
    <sheet state="visible" name="Itzel" sheetId="3" r:id="rId6"/>
    <sheet state="visible" name="Hábitos" sheetId="4" r:id="rId7"/>
    <sheet state="visible" name="Instrucciones" sheetId="5" r:id="rId8"/>
  </sheets>
  <definedNames/>
  <calcPr/>
  <extLst>
    <ext uri="GoogleSheetsCustomDataVersion2">
      <go:sheetsCustomData xmlns:go="http://customooxmlschemas.google.com/" r:id="rId9" roundtripDataChecksum="h8rVG6vOiNBkTThVgweEJrdg+VS4yv68bP1iMpaoRPU="/>
    </ext>
  </extLst>
</workbook>
</file>

<file path=xl/sharedStrings.xml><?xml version="1.0" encoding="utf-8"?>
<sst xmlns="http://schemas.openxmlformats.org/spreadsheetml/2006/main" count="163" uniqueCount="135">
  <si>
    <t>TRACKER DE PROGRESO  ·  BRANDON &amp; ITZEL</t>
  </si>
  <si>
    <t>Actualiza los datos en las hojas individuales. Este resumen se calcula automáticamente.</t>
  </si>
  <si>
    <t>BRANDON</t>
  </si>
  <si>
    <t>ITZEL</t>
  </si>
  <si>
    <t>Peso inicio</t>
  </si>
  <si>
    <t>Peso actual</t>
  </si>
  <si>
    <t>Meta</t>
  </si>
  <si>
    <t>Bajado</t>
  </si>
  <si>
    <t>Falta</t>
  </si>
  <si>
    <t>Progreso</t>
  </si>
  <si>
    <t>IMC actual →</t>
  </si>
  <si>
    <t>ÚLTIMAS 5 ENTRADAS — BRANDON</t>
  </si>
  <si>
    <t>ÚLTIMAS 5 ENTRADAS — ITZEL</t>
  </si>
  <si>
    <t>Fecha</t>
  </si>
  <si>
    <t>Peso</t>
  </si>
  <si>
    <t>IMC</t>
  </si>
  <si>
    <t>Grasa %</t>
  </si>
  <si>
    <t>Músculo %</t>
  </si>
  <si>
    <t>Viscer./Edad</t>
  </si>
  <si>
    <t>Notas</t>
  </si>
  <si>
    <t>REGISTRO DE MEDICIONES — BRANDON</t>
  </si>
  <si>
    <t>Altura: 183 cm  |  Edad: 29 años  |  Peso inicial: 124.15 kg  |  Meta: 85.0 kg  |  Por bajar: 39.15 kg</t>
  </si>
  <si>
    <t>Peso
(kg)</t>
  </si>
  <si>
    <t>IMC
(auto)</t>
  </si>
  <si>
    <t>Grasa
corp. %</t>
  </si>
  <si>
    <t>Músculo
%</t>
  </si>
  <si>
    <t>Grasa
viscer.</t>
  </si>
  <si>
    <t>Edad
corp.</t>
  </si>
  <si>
    <t>Agua %</t>
  </si>
  <si>
    <t>Cambio
(kg)</t>
  </si>
  <si>
    <t>Vs inicio
(kg)</t>
  </si>
  <si>
    <t>Medición inicial (báscula AI Link)</t>
  </si>
  <si>
    <t>REGISTRO DE MEDICIONES — ITZEL</t>
  </si>
  <si>
    <t>Altura: 180 cm  |  Edad: 27 años  |  Peso inicial: 117.5 kg  |  Meta: 70.0 kg  |  Por bajar: 47.5 kg</t>
  </si>
  <si>
    <t>Masa
ósea (kg)</t>
  </si>
  <si>
    <t>Control
peso</t>
  </si>
  <si>
    <t>2026-04-08</t>
  </si>
  <si>
    <t>Medición inicial (báscula AI Link) · IMC 37.1</t>
  </si>
  <si>
    <t>BITÁCORA SEMANAL DE HÁBITOS — BRANDON &amp; ITZEL</t>
  </si>
  <si>
    <t>Escribe 1 si cumpliste el hábito esa semana. Deja vacío si no. Llena cada viernes o domingo. Sin mentirse.</t>
  </si>
  <si>
    <t>GENERAL</t>
  </si>
  <si>
    <t>SCORE</t>
  </si>
  <si>
    <t>Semana</t>
  </si>
  <si>
    <t>Fecha inicio</t>
  </si>
  <si>
    <t>Ejercicio
(días/7)</t>
  </si>
  <si>
    <t>Siguió
menú (días)</t>
  </si>
  <si>
    <t>Agua
8 vasos</t>
  </si>
  <si>
    <t>Sin
cerveza</t>
  </si>
  <si>
    <t>Sin
chucherías</t>
  </si>
  <si>
    <t>Desayunó
antes 9am</t>
  </si>
  <si>
    <t>Sin dulce
/ papitas</t>
  </si>
  <si>
    <t>Brandon
(de 5)</t>
  </si>
  <si>
    <t>Itzel
(de 5)</t>
  </si>
  <si>
    <t>Sem. 1</t>
  </si>
  <si>
    <t>Sem. 2</t>
  </si>
  <si>
    <t>Sem. 3</t>
  </si>
  <si>
    <t>Sem. 4</t>
  </si>
  <si>
    <t>Sem. 5</t>
  </si>
  <si>
    <t>Sem. 6</t>
  </si>
  <si>
    <t>Sem. 7</t>
  </si>
  <si>
    <t>Sem. 8</t>
  </si>
  <si>
    <t>Sem. 9</t>
  </si>
  <si>
    <t>Sem. 10</t>
  </si>
  <si>
    <t>Sem. 11</t>
  </si>
  <si>
    <t>Sem. 12</t>
  </si>
  <si>
    <t>Sem. 13</t>
  </si>
  <si>
    <t>Sem. 14</t>
  </si>
  <si>
    <t>Sem. 15</t>
  </si>
  <si>
    <t>Sem. 16</t>
  </si>
  <si>
    <t>Sem. 17</t>
  </si>
  <si>
    <t>Sem. 18</t>
  </si>
  <si>
    <t>Sem. 19</t>
  </si>
  <si>
    <t>Sem. 20</t>
  </si>
  <si>
    <t>Sem. 21</t>
  </si>
  <si>
    <t>Sem. 22</t>
  </si>
  <si>
    <t>Sem. 23</t>
  </si>
  <si>
    <t>Sem. 24</t>
  </si>
  <si>
    <t>Sem. 25</t>
  </si>
  <si>
    <t>Sem. 26</t>
  </si>
  <si>
    <t>Sem. 27</t>
  </si>
  <si>
    <t>Sem. 28</t>
  </si>
  <si>
    <t>Sem. 29</t>
  </si>
  <si>
    <t>Sem. 30</t>
  </si>
  <si>
    <t>Sem. 31</t>
  </si>
  <si>
    <t>Sem. 32</t>
  </si>
  <si>
    <t>Sem. 33</t>
  </si>
  <si>
    <t>Sem. 34</t>
  </si>
  <si>
    <t>Sem. 35</t>
  </si>
  <si>
    <t>Sem. 36</t>
  </si>
  <si>
    <t>Sem. 37</t>
  </si>
  <si>
    <t>Sem. 38</t>
  </si>
  <si>
    <t>Sem. 39</t>
  </si>
  <si>
    <t>Sem. 40</t>
  </si>
  <si>
    <t>Sem. 41</t>
  </si>
  <si>
    <t>Sem. 42</t>
  </si>
  <si>
    <t>Sem. 43</t>
  </si>
  <si>
    <t>Sem. 44</t>
  </si>
  <si>
    <t>Sem. 45</t>
  </si>
  <si>
    <t>Sem. 46</t>
  </si>
  <si>
    <t>Sem. 47</t>
  </si>
  <si>
    <t>Sem. 48</t>
  </si>
  <si>
    <t>Sem. 49</t>
  </si>
  <si>
    <t>Sem. 50</t>
  </si>
  <si>
    <t>Sem. 51</t>
  </si>
  <si>
    <t>GUÍA DE USO</t>
  </si>
  <si>
    <t>CÓMO SUBIR A GOOGLE SHEETS (2 minutos)</t>
  </si>
  <si>
    <t>1. Abre drive.google.com en tu teléfono o computadora</t>
  </si>
  <si>
    <t>2. Toca el botón '+' y selecciona 'Subir archivo'</t>
  </si>
  <si>
    <t>3. Elige este archivo .xlsx que descargaste de Claude</t>
  </si>
  <si>
    <t>4. Google Drive lo convierte automáticamente a Google Sheets</t>
  </si>
  <si>
    <t>5. Abre el archivo → Archivo → Compartir → Compartir con personas</t>
  </si>
  <si>
    <t>6. Escribe el correo de la otra persona y elige 'Editor'</t>
  </si>
  <si>
    <t>7. ¡Listo! Ambos pueden editar en tiempo real desde cualquier dispositivo</t>
  </si>
  <si>
    <t>CÓMO REGISTRAR CADA SEMANA</t>
  </si>
  <si>
    <t>▸ Día de pesaje: LUNES en ayunas, antes de desayunar</t>
  </si>
  <si>
    <t>▸ Ve a la hoja 'Brandon' o 'Itzel' según quién se midió</t>
  </si>
  <si>
    <t>▸ Escribe la fecha en columna A  (formato: 2026-04-14)</t>
  </si>
  <si>
    <t>▸ Escribe el peso en columna B  →  el IMC se calcula solo</t>
  </si>
  <si>
    <t>▸ Llena los demás datos de la báscula (grasa, músculo, etc.)</t>
  </si>
  <si>
    <t>▸ Columna I (cambio) y J (vs inicio) se calculan solos</t>
  </si>
  <si>
    <t>▸ Agrega una nota breve en columna K si hubo algo especial</t>
  </si>
  <si>
    <t>▸ El Dashboard se actualiza automáticamente al guardar</t>
  </si>
  <si>
    <t>HOJA DE HÁBITOS — llenar cada viernes o domingo</t>
  </si>
  <si>
    <t>▸ Escribe 1 en cada hábito que cumpliste esa semana</t>
  </si>
  <si>
    <t>▸ Deja vacío si no se cumplió  →  sin modificar ni justificar</t>
  </si>
  <si>
    <t>▸ El score se calcula solo (de 5 puntos cada uno)</t>
  </si>
  <si>
    <t>▸ Meta mínima: 3/5 las primeras semanas. Luego 4/5.</t>
  </si>
  <si>
    <t>DATOS INICIALES YA CARGADOS</t>
  </si>
  <si>
    <t>Brandon: 30-ago-2025 · 124.15 kg · IMC 37.1 · Grasa 36.8% · Músculo 67.2%</t>
  </si>
  <si>
    <t>Itzel:   08-abr-2026 · 117.5 kg  · IMC 37.1 · Control peso: 52.7 kg por bajar</t>
  </si>
  <si>
    <t>Metas:  Brandon → 85 kg  |  Itzel → 70 kg</t>
  </si>
  <si>
    <t>TIP: En Google Sheets puedes crear gráficas fácilmente</t>
  </si>
  <si>
    <t>1. Selecciona columnas A y B de la hoja Brandon (o Itzel)</t>
  </si>
  <si>
    <t>2. Insertar → Gráfico → elige 'Gráfico de líneas'</t>
  </si>
  <si>
    <t>3. Google Sheets crea la curva de progreso automáticamente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</si>
</sst>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&quot;kg&quot;"/>
    <numFmt numFmtId="165" formatCode="\+0.0&quot;-kg&quot;;\-0.0&quot;+kg&quot;;\-"/>
    <numFmt numFmtId="166" formatCode="0.0%"/>
    <numFmt numFmtId="167" formatCode="0.0"/>
    <numFmt numFmtId="168" formatCode="M/d/yyyy"/>
    <numFmt numFmtId="169" formatCode="\+0.00;\-0.00;\-"/>
  </numFmts>
  <fonts count="21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55555"/>
      <name val="Arial"/>
    </font>
    <font>
      <b/>
      <sz val="12.0"/>
      <color rgb="FFFFFFFF"/>
      <name val="Arial"/>
    </font>
    <font>
      <b/>
      <sz val="10.0"/>
      <color rgb="FF1A3A6C"/>
      <name val="Arial"/>
    </font>
    <font>
      <b/>
      <sz val="10.0"/>
      <color rgb="FF5B2C8D"/>
      <name val="Arial"/>
    </font>
    <font>
      <sz val="10.0"/>
      <color rgb="FF1A3A6C"/>
      <name val="Arial"/>
    </font>
    <font>
      <b/>
      <sz val="10.0"/>
      <color rgb="FF1A7A4A"/>
      <name val="Arial"/>
    </font>
    <font>
      <sz val="10.0"/>
      <color rgb="FF5B2C8D"/>
      <name val="Arial"/>
    </font>
    <font>
      <i/>
      <sz val="10.0"/>
      <color rgb="FF888888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9.0"/>
      <color rgb="FF1A3A6C"/>
      <name val="Arial"/>
    </font>
    <font>
      <b/>
      <sz val="9.0"/>
      <color rgb="FF5B2C8D"/>
      <name val="Arial"/>
    </font>
    <font>
      <sz val="10.0"/>
      <color rgb="FF1A1A1A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b/>
      <sz val="10.0"/>
      <color rgb="FF555555"/>
      <name val="Arial"/>
    </font>
    <font>
      <b/>
      <sz val="11.0"/>
      <color rgb="FF1A1A1A"/>
      <name val="Arial"/>
    </font>
    <font>
      <sz val="10.0"/>
      <color rgb="FF333333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7A4A"/>
        <bgColor rgb="FF1A7A4A"/>
      </patternFill>
    </fill>
    <fill>
      <patternFill patternType="solid">
        <fgColor rgb="FFD5F5E3"/>
        <bgColor rgb="FFD5F5E3"/>
      </patternFill>
    </fill>
    <fill>
      <patternFill patternType="solid">
        <fgColor rgb="FF1A3A6C"/>
        <bgColor rgb="FF1A3A6C"/>
      </patternFill>
    </fill>
    <fill>
      <patternFill patternType="solid">
        <fgColor rgb="FF5B2C8D"/>
        <bgColor rgb="FF5B2C8D"/>
      </patternFill>
    </fill>
    <fill>
      <patternFill patternType="solid">
        <fgColor rgb="FFD6EAF8"/>
        <bgColor rgb="FFD6EAF8"/>
      </patternFill>
    </fill>
    <fill>
      <patternFill patternType="solid">
        <fgColor rgb="FFEDE0F7"/>
        <bgColor rgb="FFEDE0F7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2C3E50"/>
        <bgColor rgb="FF2C3E50"/>
      </patternFill>
    </fill>
    <fill>
      <patternFill patternType="solid">
        <fgColor rgb="FFDDDDDD"/>
        <bgColor rgb="FFDDDDDD"/>
      </patternFill>
    </fill>
    <fill>
      <patternFill patternType="solid">
        <fgColor rgb="FFFADBD8"/>
        <bgColor rgb="FFFADBD8"/>
      </patternFill>
    </fill>
    <fill>
      <patternFill patternType="solid">
        <fgColor rgb="FFFEF9E7"/>
        <bgColor rgb="FFFEF9E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5" fillId="6" fontId="7" numFmtId="164" xfId="0" applyAlignment="1" applyBorder="1" applyFont="1" applyNumberFormat="1">
      <alignment horizontal="center" shrinkToFit="0" vertical="center" wrapText="0"/>
    </xf>
    <xf borderId="5" fillId="3" fontId="8" numFmtId="165" xfId="0" applyAlignment="1" applyBorder="1" applyFont="1" applyNumberFormat="1">
      <alignment horizontal="center" shrinkToFit="0" vertical="center" wrapText="0"/>
    </xf>
    <xf borderId="5" fillId="6" fontId="7" numFmtId="166" xfId="0" applyAlignment="1" applyBorder="1" applyFont="1" applyNumberFormat="1">
      <alignment horizontal="center" shrinkToFit="0" vertical="center" wrapText="0"/>
    </xf>
    <xf borderId="5" fillId="7" fontId="9" numFmtId="164" xfId="0" applyAlignment="1" applyBorder="1" applyFont="1" applyNumberFormat="1">
      <alignment horizontal="center" shrinkToFit="0" vertical="center" wrapText="0"/>
    </xf>
    <xf borderId="5" fillId="7" fontId="6" numFmtId="165" xfId="0" applyAlignment="1" applyBorder="1" applyFont="1" applyNumberFormat="1">
      <alignment horizontal="center" shrinkToFit="0" vertical="center" wrapText="0"/>
    </xf>
    <xf borderId="5" fillId="7" fontId="9" numFmtId="166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0" fillId="0" fontId="5" numFmtId="167" xfId="0" applyAlignment="1" applyFont="1" applyNumberFormat="1">
      <alignment horizontal="center" shrinkToFit="0" vertical="center" wrapText="0"/>
    </xf>
    <xf borderId="0" fillId="0" fontId="6" numFmtId="167" xfId="0" applyAlignment="1" applyFont="1" applyNumberFormat="1">
      <alignment horizontal="center" shrinkToFit="0" vertical="center" wrapText="0"/>
    </xf>
    <xf borderId="1" fillId="4" fontId="11" numFmtId="0" xfId="0" applyAlignment="1" applyBorder="1" applyFont="1">
      <alignment horizontal="center" shrinkToFit="0" vertical="center" wrapText="1"/>
    </xf>
    <xf borderId="4" fillId="8" fontId="12" numFmtId="0" xfId="0" applyAlignment="1" applyBorder="1" applyFill="1" applyFont="1">
      <alignment shrinkToFit="0" vertical="bottom" wrapText="0"/>
    </xf>
    <xf borderId="1" fillId="5" fontId="11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5" fillId="8" fontId="7" numFmtId="0" xfId="0" applyAlignment="1" applyBorder="1" applyFont="1">
      <alignment horizontal="center" shrinkToFit="0" vertical="center" wrapText="0"/>
    </xf>
    <xf borderId="5" fillId="8" fontId="15" numFmtId="0" xfId="0" applyAlignment="1" applyBorder="1" applyFont="1">
      <alignment horizontal="center" shrinkToFit="0" vertical="center" wrapText="0"/>
    </xf>
    <xf borderId="5" fillId="8" fontId="9" numFmtId="0" xfId="0" applyAlignment="1" applyBorder="1" applyFont="1">
      <alignment horizontal="center" shrinkToFit="0" vertical="center" wrapText="0"/>
    </xf>
    <xf borderId="5" fillId="6" fontId="7" numFmtId="0" xfId="0" applyAlignment="1" applyBorder="1" applyFont="1">
      <alignment horizontal="center" shrinkToFit="0" vertical="center" wrapText="0"/>
    </xf>
    <xf borderId="5" fillId="6" fontId="15" numFmtId="0" xfId="0" applyAlignment="1" applyBorder="1" applyFont="1">
      <alignment horizontal="center" shrinkToFit="0" vertical="center" wrapText="0"/>
    </xf>
    <xf borderId="5" fillId="7" fontId="9" numFmtId="0" xfId="0" applyAlignment="1" applyBorder="1" applyFont="1">
      <alignment horizontal="center" shrinkToFit="0" vertical="center" wrapText="0"/>
    </xf>
    <xf borderId="5" fillId="7" fontId="15" numFmtId="0" xfId="0" applyAlignment="1" applyBorder="1" applyFont="1">
      <alignment horizontal="center" shrinkToFit="0" vertical="center" wrapText="0"/>
    </xf>
    <xf borderId="5" fillId="8" fontId="15" numFmtId="2" xfId="0" applyAlignment="1" applyBorder="1" applyFont="1" applyNumberFormat="1">
      <alignment horizontal="center" shrinkToFit="0" vertical="center" wrapText="0"/>
    </xf>
    <xf borderId="1" fillId="4" fontId="16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0"/>
    </xf>
    <xf borderId="4" fillId="4" fontId="17" numFmtId="0" xfId="0" applyAlignment="1" applyBorder="1" applyFont="1">
      <alignment horizontal="center" shrinkToFit="0" vertical="center" wrapText="1"/>
    </xf>
    <xf borderId="5" fillId="6" fontId="5" numFmtId="168" xfId="0" applyAlignment="1" applyBorder="1" applyFont="1" applyNumberFormat="1">
      <alignment horizontal="center" shrinkToFit="0" vertical="center" wrapText="0"/>
    </xf>
    <xf borderId="5" fillId="6" fontId="5" numFmtId="0" xfId="0" applyAlignment="1" applyBorder="1" applyFont="1">
      <alignment horizontal="center" shrinkToFit="0" vertical="center" wrapText="0"/>
    </xf>
    <xf borderId="5" fillId="6" fontId="7" numFmtId="167" xfId="0" applyAlignment="1" applyBorder="1" applyFont="1" applyNumberFormat="1">
      <alignment horizontal="center" shrinkToFit="0" vertical="center" wrapText="0"/>
    </xf>
    <xf borderId="5" fillId="6" fontId="7" numFmtId="169" xfId="0" applyAlignment="1" applyBorder="1" applyFont="1" applyNumberFormat="1">
      <alignment horizontal="center" shrinkToFit="0" vertical="center" wrapText="0"/>
    </xf>
    <xf borderId="5" fillId="8" fontId="15" numFmtId="167" xfId="0" applyAlignment="1" applyBorder="1" applyFont="1" applyNumberFormat="1">
      <alignment horizontal="center" shrinkToFit="0" vertical="center" wrapText="0"/>
    </xf>
    <xf borderId="5" fillId="8" fontId="15" numFmtId="169" xfId="0" applyAlignment="1" applyBorder="1" applyFont="1" applyNumberFormat="1">
      <alignment horizontal="center" shrinkToFit="0" vertical="center" wrapText="0"/>
    </xf>
    <xf borderId="5" fillId="9" fontId="15" numFmtId="0" xfId="0" applyAlignment="1" applyBorder="1" applyFill="1" applyFont="1">
      <alignment horizontal="center" shrinkToFit="0" vertical="center" wrapText="0"/>
    </xf>
    <xf borderId="5" fillId="9" fontId="15" numFmtId="2" xfId="0" applyAlignment="1" applyBorder="1" applyFont="1" applyNumberFormat="1">
      <alignment horizontal="center" shrinkToFit="0" vertical="center" wrapText="0"/>
    </xf>
    <xf borderId="5" fillId="9" fontId="15" numFmtId="167" xfId="0" applyAlignment="1" applyBorder="1" applyFont="1" applyNumberFormat="1">
      <alignment horizontal="center" shrinkToFit="0" vertical="center" wrapText="0"/>
    </xf>
    <xf borderId="5" fillId="9" fontId="15" numFmtId="169" xfId="0" applyAlignment="1" applyBorder="1" applyFont="1" applyNumberFormat="1">
      <alignment horizontal="center" shrinkToFit="0" vertical="center" wrapText="0"/>
    </xf>
    <xf borderId="1" fillId="5" fontId="16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shrinkToFit="0" vertical="center" wrapText="0"/>
    </xf>
    <xf borderId="4" fillId="5" fontId="17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shrinkToFit="0" vertical="center" wrapText="0"/>
    </xf>
    <xf borderId="5" fillId="7" fontId="9" numFmtId="167" xfId="0" applyAlignment="1" applyBorder="1" applyFont="1" applyNumberFormat="1">
      <alignment horizontal="center" shrinkToFit="0" vertical="center" wrapText="0"/>
    </xf>
    <xf borderId="5" fillId="7" fontId="9" numFmtId="169" xfId="0" applyAlignment="1" applyBorder="1" applyFont="1" applyNumberFormat="1">
      <alignment horizontal="center" shrinkToFit="0" vertical="center" wrapText="0"/>
    </xf>
    <xf borderId="1" fillId="2" fontId="16" numFmtId="0" xfId="0" applyAlignment="1" applyBorder="1" applyFont="1">
      <alignment horizontal="center" shrinkToFit="0" vertical="center" wrapText="1"/>
    </xf>
    <xf borderId="1" fillId="10" fontId="17" numFmtId="0" xfId="0" applyAlignment="1" applyBorder="1" applyFill="1" applyFont="1">
      <alignment horizontal="center" shrinkToFit="0" vertical="center" wrapText="1"/>
    </xf>
    <xf borderId="1" fillId="4" fontId="17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4" fillId="10" fontId="17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 shrinkToFit="0" vertical="center" wrapText="1"/>
    </xf>
    <xf borderId="5" fillId="11" fontId="18" numFmtId="0" xfId="0" applyAlignment="1" applyBorder="1" applyFill="1" applyFont="1">
      <alignment horizontal="center" shrinkToFit="0" vertical="center" wrapText="0"/>
    </xf>
    <xf borderId="5" fillId="3" fontId="8" numFmtId="0" xfId="0" applyAlignment="1" applyBorder="1" applyFont="1">
      <alignment horizontal="center" shrinkToFit="0" vertical="center" wrapText="0"/>
    </xf>
    <xf borderId="1" fillId="6" fontId="19" numFmtId="0" xfId="0" applyAlignment="1" applyBorder="1" applyFont="1">
      <alignment horizontal="left" shrinkToFit="0" vertical="center" wrapText="0"/>
    </xf>
    <xf borderId="0" fillId="0" fontId="20" numFmtId="0" xfId="0" applyAlignment="1" applyFont="1">
      <alignment horizontal="left" shrinkToFit="0" vertical="center" wrapText="0"/>
    </xf>
    <xf borderId="1" fillId="3" fontId="19" numFmtId="0" xfId="0" applyAlignment="1" applyBorder="1" applyFont="1">
      <alignment horizontal="left" shrinkToFit="0" vertical="center" wrapText="0"/>
    </xf>
    <xf borderId="1" fillId="7" fontId="19" numFmtId="0" xfId="0" applyAlignment="1" applyBorder="1" applyFont="1">
      <alignment horizontal="left" shrinkToFit="0" vertical="center" wrapText="0"/>
    </xf>
    <xf borderId="1" fillId="12" fontId="19" numFmtId="0" xfId="0" applyAlignment="1" applyBorder="1" applyFill="1" applyFont="1">
      <alignment horizontal="left" shrinkToFit="0" vertical="center" wrapText="0"/>
    </xf>
    <xf borderId="1" fillId="13" fontId="19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8.0"/>
    <col customWidth="1" min="4" max="5" width="11.0"/>
    <col customWidth="1" min="6" max="7" width="10.0"/>
    <col customWidth="1" min="8" max="8" width="6.0"/>
    <col customWidth="1" min="9" max="9" width="12.0"/>
    <col customWidth="1" min="10" max="10" width="10.0"/>
    <col customWidth="1" min="11" max="11" width="8.0"/>
    <col customWidth="1" min="12" max="13" width="11.0"/>
    <col customWidth="1" min="14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4" ht="25.5" customHeight="1">
      <c r="A4" s="5" t="s">
        <v>2</v>
      </c>
      <c r="B4" s="2"/>
      <c r="C4" s="2"/>
      <c r="D4" s="2"/>
      <c r="E4" s="2"/>
      <c r="F4" s="3"/>
      <c r="H4" s="6" t="s">
        <v>3</v>
      </c>
      <c r="I4" s="2"/>
      <c r="J4" s="2"/>
      <c r="K4" s="2"/>
      <c r="L4" s="2"/>
      <c r="M4" s="3"/>
    </row>
    <row r="5" ht="21.75" customHeight="1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H5" s="8" t="s">
        <v>4</v>
      </c>
      <c r="I5" s="8" t="s">
        <v>5</v>
      </c>
      <c r="J5" s="8" t="s">
        <v>6</v>
      </c>
      <c r="K5" s="8" t="s">
        <v>7</v>
      </c>
      <c r="L5" s="8" t="s">
        <v>8</v>
      </c>
      <c r="M5" s="8" t="s">
        <v>9</v>
      </c>
    </row>
    <row r="6" ht="24.0" customHeight="1">
      <c r="A6" s="9">
        <v>124.15</v>
      </c>
      <c r="B6" s="9">
        <f t="array" ref="B6">IFERROR(INDEX(Brandon!B:B,MATCH(9.99E+307,Brandon!B:B)),Brandon!B4)</f>
        <v>124.15</v>
      </c>
      <c r="C6" s="9">
        <v>85.0</v>
      </c>
      <c r="D6" s="10">
        <f t="shared" ref="D6:E6" si="1">IFERROR(A6-B6,"")</f>
        <v>0</v>
      </c>
      <c r="E6" s="9">
        <f t="shared" si="1"/>
        <v>39.15</v>
      </c>
      <c r="F6" s="11">
        <f>IFERROR(IF(A6-C6&lt;&gt;0,(A6-B6)/(A6-C6),0),0)</f>
        <v>0</v>
      </c>
      <c r="H6" s="12">
        <v>117.5</v>
      </c>
      <c r="I6" s="12">
        <f t="array" ref="I6">IFERROR(INDEX(Itzel!B:B,MATCH(9.99E+307,Itzel!B:B)),Itzel!B4)</f>
        <v>117.5</v>
      </c>
      <c r="J6" s="12">
        <v>70.0</v>
      </c>
      <c r="K6" s="13">
        <f t="shared" ref="K6:L6" si="2">IFERROR(H6-I6,"")</f>
        <v>0</v>
      </c>
      <c r="L6" s="12">
        <f t="shared" si="2"/>
        <v>47.5</v>
      </c>
      <c r="M6" s="14">
        <f>IFERROR(IF(H6-J6&lt;&gt;0,(H6-I6)/(H6-J6),0),0)</f>
        <v>0</v>
      </c>
    </row>
    <row r="7" ht="19.5" customHeight="1">
      <c r="A7" s="15" t="s">
        <v>10</v>
      </c>
      <c r="B7" s="16">
        <f>IFERROR(Brandon!B4/(1.83^2),"")</f>
        <v>37.07187435</v>
      </c>
      <c r="H7" s="15" t="s">
        <v>10</v>
      </c>
      <c r="I7" s="17">
        <f>IFERROR(Itzel!B4/(1.8^2),"")</f>
        <v>36.2654321</v>
      </c>
    </row>
    <row r="8" ht="12.0" customHeight="1"/>
    <row r="9" ht="24.0" customHeight="1">
      <c r="A9" s="18" t="s">
        <v>11</v>
      </c>
      <c r="B9" s="2"/>
      <c r="C9" s="2"/>
      <c r="D9" s="2"/>
      <c r="E9" s="2"/>
      <c r="F9" s="3"/>
      <c r="G9" s="19"/>
      <c r="H9" s="20" t="s">
        <v>12</v>
      </c>
      <c r="I9" s="2"/>
      <c r="J9" s="2"/>
      <c r="K9" s="2"/>
      <c r="L9" s="2"/>
      <c r="M9" s="3"/>
    </row>
    <row r="10" ht="19.5" customHeight="1">
      <c r="A10" s="21" t="s">
        <v>13</v>
      </c>
      <c r="B10" s="21" t="s">
        <v>14</v>
      </c>
      <c r="C10" s="21" t="s">
        <v>15</v>
      </c>
      <c r="D10" s="21" t="s">
        <v>16</v>
      </c>
      <c r="E10" s="21" t="s">
        <v>17</v>
      </c>
      <c r="F10" s="21" t="s">
        <v>18</v>
      </c>
      <c r="H10" s="22" t="s">
        <v>13</v>
      </c>
      <c r="I10" s="22" t="s">
        <v>14</v>
      </c>
      <c r="J10" s="22" t="s">
        <v>15</v>
      </c>
      <c r="K10" s="22" t="s">
        <v>16</v>
      </c>
      <c r="L10" s="22" t="s">
        <v>17</v>
      </c>
      <c r="M10" s="22" t="s">
        <v>19</v>
      </c>
    </row>
    <row r="11">
      <c r="A11" s="23" t="str">
        <f t="array" ref="A11">IFERROR(INDEX(Brandon!A:A,COUNTA(Brandon!B:B)-4),"")</f>
        <v/>
      </c>
      <c r="B11" s="24" t="str">
        <f t="array" ref="B11">IFERROR(INDEX(Brandon!B:B,COUNTA(Brandon!B:B)-4),"")</f>
        <v/>
      </c>
      <c r="C11" s="24" t="str">
        <f t="array" ref="C11">IFERROR(INDEX(Brandon!C:C,COUNTA(Brandon!B:B)-4),"")</f>
        <v/>
      </c>
      <c r="D11" s="24" t="str">
        <f t="array" ref="D11">IFERROR(INDEX(Brandon!D:D,COUNTA(Brandon!B:B)-4),"")</f>
        <v/>
      </c>
      <c r="E11" s="24" t="str">
        <f t="array" ref="E11">IFERROR(INDEX(Brandon!E:E,COUNTA(Brandon!B:B)-4),"")</f>
        <v/>
      </c>
      <c r="F11" s="24" t="str">
        <f t="array" ref="F11">IFERROR(INDEX(Brandon!F:F,COUNTA(Brandon!B:B)-4),"")</f>
        <v/>
      </c>
      <c r="G11" s="19"/>
      <c r="H11" s="25" t="str">
        <f t="array" ref="H11">IFERROR(INDEX(Itzel!A:A,COUNTA(Itzel!B:B)-4),"")</f>
        <v/>
      </c>
      <c r="I11" s="24" t="str">
        <f t="array" ref="I11">IFERROR(INDEX(Itzel!B:B,COUNTA(Itzel!B:B)-4),"")</f>
        <v/>
      </c>
      <c r="J11" s="24" t="str">
        <f t="array" ref="J11">IFERROR(INDEX(Itzel!C:C,COUNTA(Itzel!B:B)-4),"")</f>
        <v/>
      </c>
      <c r="K11" s="24" t="str">
        <f t="array" ref="K11">IFERROR(INDEX(Itzel!D:D,COUNTA(Itzel!B:B)-4),"")</f>
        <v/>
      </c>
      <c r="L11" s="24" t="str">
        <f t="array" ref="L11">IFERROR(INDEX(Itzel!E:E,COUNTA(Itzel!B:B)-4),"")</f>
        <v/>
      </c>
      <c r="M11" s="24" t="str">
        <f t="array" ref="M11">IFERROR(INDEX(Itzel!K:K,COUNTA(Itzel!B:B)-4),"")</f>
        <v/>
      </c>
    </row>
    <row r="12">
      <c r="A12" s="26" t="str">
        <f t="array" ref="A12">IFERROR(INDEX(Brandon!A:A,COUNTA(Brandon!B:B)-3),"")</f>
        <v/>
      </c>
      <c r="B12" s="27" t="str">
        <f t="array" ref="B12">IFERROR(INDEX(Brandon!B:B,COUNTA(Brandon!B:B)-3),"")</f>
        <v/>
      </c>
      <c r="C12" s="27" t="str">
        <f t="array" ref="C12">IFERROR(INDEX(Brandon!C:C,COUNTA(Brandon!B:B)-3),"")</f>
        <v/>
      </c>
      <c r="D12" s="27" t="str">
        <f t="array" ref="D12">IFERROR(INDEX(Brandon!D:D,COUNTA(Brandon!B:B)-3),"")</f>
        <v/>
      </c>
      <c r="E12" s="27" t="str">
        <f t="array" ref="E12">IFERROR(INDEX(Brandon!E:E,COUNTA(Brandon!B:B)-3),"")</f>
        <v/>
      </c>
      <c r="F12" s="27" t="str">
        <f t="array" ref="F12">IFERROR(INDEX(Brandon!F:F,COUNTA(Brandon!B:B)-3),"")</f>
        <v/>
      </c>
      <c r="G12" s="19"/>
      <c r="H12" s="28" t="str">
        <f t="array" ref="H12">IFERROR(INDEX(Itzel!A:A,COUNTA(Itzel!B:B)-3),"")</f>
        <v/>
      </c>
      <c r="I12" s="29" t="str">
        <f t="array" ref="I12">IFERROR(INDEX(Itzel!B:B,COUNTA(Itzel!B:B)-3),"")</f>
        <v/>
      </c>
      <c r="J12" s="29" t="str">
        <f t="array" ref="J12">IFERROR(INDEX(Itzel!C:C,COUNTA(Itzel!B:B)-3),"")</f>
        <v/>
      </c>
      <c r="K12" s="29" t="str">
        <f t="array" ref="K12">IFERROR(INDEX(Itzel!D:D,COUNTA(Itzel!B:B)-3),"")</f>
        <v/>
      </c>
      <c r="L12" s="29" t="str">
        <f t="array" ref="L12">IFERROR(INDEX(Itzel!E:E,COUNTA(Itzel!B:B)-3),"")</f>
        <v/>
      </c>
      <c r="M12" s="29" t="str">
        <f t="array" ref="M12">IFERROR(INDEX(Itzel!K:K,COUNTA(Itzel!B:B)-3),"")</f>
        <v/>
      </c>
    </row>
    <row r="13">
      <c r="A13" s="23" t="str">
        <f t="array" ref="A13:A14">IFERROR(INDEX(Brandon!A:A,COUNTA(Brandon!B:B)-2),"")</f>
        <v>#REF!</v>
      </c>
      <c r="B13" s="30" t="str">
        <f t="array" ref="B13:B14">IFERROR(INDEX(Brandon!B:B,COUNTA(Brandon!B:B)-2),"")</f>
        <v>#REF!</v>
      </c>
      <c r="C13" s="24" t="str">
        <f t="array" ref="C13:C14">IFERROR(INDEX(Brandon!C:C,COUNTA(Brandon!B:B)-2),"")</f>
        <v>#REF!</v>
      </c>
      <c r="D13" s="24" t="str">
        <f t="array" ref="D13:D14">IFERROR(INDEX(Brandon!D:D,COUNTA(Brandon!B:B)-2),"")</f>
        <v>#REF!</v>
      </c>
      <c r="E13" s="24" t="str">
        <f t="array" ref="E13:E14">IFERROR(INDEX(Brandon!E:E,COUNTA(Brandon!B:B)-2),"")</f>
        <v>#REF!</v>
      </c>
      <c r="F13" s="24" t="str">
        <f t="array" ref="F13:F14">IFERROR(INDEX(Brandon!F:F,COUNTA(Brandon!B:B)-2),"")</f>
        <v>#REF!</v>
      </c>
      <c r="G13" s="19"/>
      <c r="H13" s="25" t="str">
        <f t="array" ref="H13:H14">IFERROR(INDEX(Itzel!A:A,COUNTA(Itzel!B:B)-2),"")</f>
        <v>#REF!</v>
      </c>
      <c r="I13" s="30" t="str">
        <f t="array" ref="I13:I14">IFERROR(INDEX(Itzel!B:B,COUNTA(Itzel!B:B)-2),"")</f>
        <v>#REF!</v>
      </c>
      <c r="J13" s="24" t="str">
        <f t="array" ref="J13:J14">IFERROR(INDEX(Itzel!C:C,COUNTA(Itzel!B:B)-2),"")</f>
        <v>#REF!</v>
      </c>
      <c r="K13" s="24" t="str">
        <f t="array" ref="K13:K14">IFERROR(INDEX(Itzel!D:D,COUNTA(Itzel!B:B)-2),"")</f>
        <v>#REF!</v>
      </c>
      <c r="L13" s="24" t="str">
        <f t="array" ref="L13:L14">IFERROR(INDEX(Itzel!E:E,COUNTA(Itzel!B:B)-2),"")</f>
        <v>#REF!</v>
      </c>
      <c r="M13" s="24" t="str">
        <f t="array" ref="M13:M14">IFERROR(INDEX(Itzel!K:K,COUNTA(Itzel!B:B)-2),"")</f>
        <v>#REF!</v>
      </c>
    </row>
    <row r="14">
      <c r="A14" s="26" t="str">
        <f t="array" ref="A14">IFERROR(INDEX(Brandon!A:A,COUNTA(Brandon!B:B)-1),"")</f>
        <v>REGISTRO DE MEDICIONES — BRANDON</v>
      </c>
      <c r="B14" s="27" t="str">
        <f t="array" ref="B14">IFERROR(INDEX(Brandon!B:B,COUNTA(Brandon!B:B)-1),"")</f>
        <v/>
      </c>
      <c r="C14" s="27" t="str">
        <f t="array" ref="C14">IFERROR(INDEX(Brandon!C:C,COUNTA(Brandon!B:B)-1),"")</f>
        <v/>
      </c>
      <c r="D14" s="27" t="str">
        <f t="array" ref="D14">IFERROR(INDEX(Brandon!D:D,COUNTA(Brandon!B:B)-1),"")</f>
        <v/>
      </c>
      <c r="E14" s="27" t="str">
        <f t="array" ref="E14">IFERROR(INDEX(Brandon!E:E,COUNTA(Brandon!B:B)-1),"")</f>
        <v/>
      </c>
      <c r="F14" s="27" t="str">
        <f t="array" ref="F14">IFERROR(INDEX(Brandon!F:F,COUNTA(Brandon!B:B)-1),"")</f>
        <v/>
      </c>
      <c r="G14" s="19"/>
      <c r="H14" s="28" t="str">
        <f t="array" ref="H14">IFERROR(INDEX(Itzel!A:A,COUNTA(Itzel!B:B)-1),"")</f>
        <v>REGISTRO DE MEDICIONES — ITZEL</v>
      </c>
      <c r="I14" s="29" t="str">
        <f t="array" ref="I14">IFERROR(INDEX(Itzel!B:B,COUNTA(Itzel!B:B)-1),"")</f>
        <v/>
      </c>
      <c r="J14" s="29" t="str">
        <f t="array" ref="J14">IFERROR(INDEX(Itzel!C:C,COUNTA(Itzel!B:B)-1),"")</f>
        <v/>
      </c>
      <c r="K14" s="29" t="str">
        <f t="array" ref="K14">IFERROR(INDEX(Itzel!D:D,COUNTA(Itzel!B:B)-1),"")</f>
        <v/>
      </c>
      <c r="L14" s="29" t="str">
        <f t="array" ref="L14">IFERROR(INDEX(Itzel!E:E,COUNTA(Itzel!B:B)-1),"")</f>
        <v/>
      </c>
      <c r="M14" s="29" t="str">
        <f t="array" ref="M14">IFERROR(INDEX(Itzel!K:K,COUNTA(Itzel!B:B)-1),"")</f>
        <v/>
      </c>
    </row>
    <row r="15">
      <c r="A15" s="23" t="str">
        <f t="array" ref="A15">IFERROR(INDEX(Brandon!A:A,COUNTA(Brandon!B:B)-0),"")</f>
        <v>Altura: 183 cm  |  Edad: 29 años  |  Peso inicial: 124.15 kg  |  Meta: 85.0 kg  |  Por bajar: 39.15 kg</v>
      </c>
      <c r="B15" s="24" t="str">
        <f t="array" ref="B15">IFERROR(INDEX(Brandon!B:B,COUNTA(Brandon!B:B)-0),"")</f>
        <v/>
      </c>
      <c r="C15" s="24" t="str">
        <f t="array" ref="C15">IFERROR(INDEX(Brandon!C:C,COUNTA(Brandon!B:B)-0),"")</f>
        <v/>
      </c>
      <c r="D15" s="24" t="str">
        <f t="array" ref="D15">IFERROR(INDEX(Brandon!D:D,COUNTA(Brandon!B:B)-0),"")</f>
        <v/>
      </c>
      <c r="E15" s="24" t="str">
        <f t="array" ref="E15">IFERROR(INDEX(Brandon!E:E,COUNTA(Brandon!B:B)-0),"")</f>
        <v/>
      </c>
      <c r="F15" s="24" t="str">
        <f t="array" ref="F15">IFERROR(INDEX(Brandon!F:F,COUNTA(Brandon!B:B)-0),"")</f>
        <v/>
      </c>
      <c r="G15" s="19"/>
      <c r="H15" s="25" t="str">
        <f t="array" ref="H15">IFERROR(INDEX(Itzel!A:A,COUNTA(Itzel!B:B)-0),"")</f>
        <v>Altura: 180 cm  |  Edad: 27 años  |  Peso inicial: 117.5 kg  |  Meta: 70.0 kg  |  Por bajar: 47.5 kg</v>
      </c>
      <c r="I15" s="24" t="str">
        <f t="array" ref="I15">IFERROR(INDEX(Itzel!B:B,COUNTA(Itzel!B:B)-0),"")</f>
        <v/>
      </c>
      <c r="J15" s="24" t="str">
        <f t="array" ref="J15">IFERROR(INDEX(Itzel!C:C,COUNTA(Itzel!B:B)-0),"")</f>
        <v/>
      </c>
      <c r="K15" s="24" t="str">
        <f t="array" ref="K15">IFERROR(INDEX(Itzel!D:D,COUNTA(Itzel!B:B)-0),"")</f>
        <v/>
      </c>
      <c r="L15" s="24" t="str">
        <f t="array" ref="L15">IFERROR(INDEX(Itzel!E:E,COUNTA(Itzel!B:B)-0),"")</f>
        <v/>
      </c>
      <c r="M15" s="24" t="str">
        <f t="array" ref="M15">IFERROR(INDEX(Itzel!K:K,COUNTA(Itzel!B:B)-0),"")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M1"/>
    <mergeCell ref="A2:M2"/>
    <mergeCell ref="A4:F4"/>
    <mergeCell ref="H4:M4"/>
    <mergeCell ref="B7:C7"/>
    <mergeCell ref="I7:J7"/>
    <mergeCell ref="A9:F9"/>
    <mergeCell ref="H9:M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8.0"/>
    <col customWidth="1" min="4" max="5" width="12.0"/>
    <col customWidth="1" min="6" max="7" width="10.0"/>
    <col customWidth="1" min="8" max="8" width="8.0"/>
    <col customWidth="1" min="9" max="10" width="12.0"/>
    <col customWidth="1" min="11" max="11" width="30.0"/>
    <col customWidth="1" min="12" max="26" width="8.71"/>
  </cols>
  <sheetData>
    <row r="1" ht="31.5" customHeight="1">
      <c r="A1" s="31" t="s">
        <v>20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32" t="s">
        <v>21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43.5" customHeight="1">
      <c r="A3" s="33" t="s">
        <v>13</v>
      </c>
      <c r="B3" s="33" t="s">
        <v>22</v>
      </c>
      <c r="C3" s="33" t="s">
        <v>23</v>
      </c>
      <c r="D3" s="33" t="s">
        <v>24</v>
      </c>
      <c r="E3" s="33" t="s">
        <v>25</v>
      </c>
      <c r="F3" s="33" t="s">
        <v>26</v>
      </c>
      <c r="G3" s="33" t="s">
        <v>27</v>
      </c>
      <c r="H3" s="33" t="s">
        <v>28</v>
      </c>
      <c r="I3" s="33" t="s">
        <v>29</v>
      </c>
      <c r="J3" s="33" t="s">
        <v>30</v>
      </c>
      <c r="K3" s="33" t="s">
        <v>19</v>
      </c>
    </row>
    <row r="4" ht="19.5" customHeight="1">
      <c r="A4" s="34">
        <v>45899.0</v>
      </c>
      <c r="B4" s="35">
        <v>124.15</v>
      </c>
      <c r="C4" s="36">
        <f>IFERROR(B4/(1.83^2),"")</f>
        <v>37.07187435</v>
      </c>
      <c r="D4" s="26">
        <v>36.8</v>
      </c>
      <c r="E4" s="26">
        <v>67.2</v>
      </c>
      <c r="F4" s="26">
        <v>18.0</v>
      </c>
      <c r="G4" s="26">
        <v>38.0</v>
      </c>
      <c r="H4" s="26">
        <v>46.3</v>
      </c>
      <c r="I4" s="37">
        <v>0.0</v>
      </c>
      <c r="J4" s="37">
        <v>0.0</v>
      </c>
      <c r="K4" s="26" t="s">
        <v>31</v>
      </c>
    </row>
    <row r="5" ht="18.0" customHeight="1">
      <c r="A5" s="24"/>
      <c r="B5" s="30"/>
      <c r="C5" s="38" t="str">
        <f t="shared" ref="C5:C55" si="1">IFERROR(IF(B5&lt;&gt;"",B5/(1.83^2),""),"")</f>
        <v/>
      </c>
      <c r="D5" s="24"/>
      <c r="E5" s="24"/>
      <c r="F5" s="24"/>
      <c r="G5" s="24"/>
      <c r="H5" s="24"/>
      <c r="I5" s="39" t="str">
        <f t="shared" ref="I5:I55" si="2">IFERROR(IF(B5&lt;&gt;"",B5-B4,""),"")</f>
        <v/>
      </c>
      <c r="J5" s="39" t="str">
        <f t="shared" ref="J5:J55" si="3">IFERROR(IF(B5&lt;&gt;"",B5-$B$4,""),"")</f>
        <v/>
      </c>
      <c r="K5" s="24"/>
    </row>
    <row r="6" ht="18.0" customHeight="1">
      <c r="A6" s="40"/>
      <c r="B6" s="41"/>
      <c r="C6" s="42" t="str">
        <f t="shared" si="1"/>
        <v/>
      </c>
      <c r="D6" s="40"/>
      <c r="E6" s="40"/>
      <c r="F6" s="40"/>
      <c r="G6" s="40"/>
      <c r="H6" s="40"/>
      <c r="I6" s="43" t="str">
        <f t="shared" si="2"/>
        <v/>
      </c>
      <c r="J6" s="43" t="str">
        <f t="shared" si="3"/>
        <v/>
      </c>
      <c r="K6" s="40"/>
    </row>
    <row r="7" ht="18.0" customHeight="1">
      <c r="A7" s="24"/>
      <c r="B7" s="30"/>
      <c r="C7" s="38" t="str">
        <f t="shared" si="1"/>
        <v/>
      </c>
      <c r="D7" s="24"/>
      <c r="E7" s="24"/>
      <c r="F7" s="24"/>
      <c r="G7" s="24"/>
      <c r="H7" s="24"/>
      <c r="I7" s="39" t="str">
        <f t="shared" si="2"/>
        <v/>
      </c>
      <c r="J7" s="39" t="str">
        <f t="shared" si="3"/>
        <v/>
      </c>
      <c r="K7" s="24"/>
    </row>
    <row r="8" ht="18.0" customHeight="1">
      <c r="A8" s="40"/>
      <c r="B8" s="41"/>
      <c r="C8" s="42" t="str">
        <f t="shared" si="1"/>
        <v/>
      </c>
      <c r="D8" s="40"/>
      <c r="E8" s="40"/>
      <c r="F8" s="40"/>
      <c r="G8" s="40"/>
      <c r="H8" s="40"/>
      <c r="I8" s="43" t="str">
        <f t="shared" si="2"/>
        <v/>
      </c>
      <c r="J8" s="43" t="str">
        <f t="shared" si="3"/>
        <v/>
      </c>
      <c r="K8" s="40"/>
    </row>
    <row r="9" ht="18.0" customHeight="1">
      <c r="A9" s="24"/>
      <c r="B9" s="30"/>
      <c r="C9" s="38" t="str">
        <f t="shared" si="1"/>
        <v/>
      </c>
      <c r="D9" s="24"/>
      <c r="E9" s="24"/>
      <c r="F9" s="24"/>
      <c r="G9" s="24"/>
      <c r="H9" s="24"/>
      <c r="I9" s="39" t="str">
        <f t="shared" si="2"/>
        <v/>
      </c>
      <c r="J9" s="39" t="str">
        <f t="shared" si="3"/>
        <v/>
      </c>
      <c r="K9" s="24"/>
    </row>
    <row r="10" ht="18.0" customHeight="1">
      <c r="A10" s="40"/>
      <c r="B10" s="41"/>
      <c r="C10" s="42" t="str">
        <f t="shared" si="1"/>
        <v/>
      </c>
      <c r="D10" s="40"/>
      <c r="E10" s="40"/>
      <c r="F10" s="40"/>
      <c r="G10" s="40"/>
      <c r="H10" s="40"/>
      <c r="I10" s="43" t="str">
        <f t="shared" si="2"/>
        <v/>
      </c>
      <c r="J10" s="43" t="str">
        <f t="shared" si="3"/>
        <v/>
      </c>
      <c r="K10" s="40"/>
    </row>
    <row r="11" ht="18.0" customHeight="1">
      <c r="A11" s="24"/>
      <c r="B11" s="30"/>
      <c r="C11" s="38" t="str">
        <f t="shared" si="1"/>
        <v/>
      </c>
      <c r="D11" s="24"/>
      <c r="E11" s="24"/>
      <c r="F11" s="24"/>
      <c r="G11" s="24"/>
      <c r="H11" s="24"/>
      <c r="I11" s="39" t="str">
        <f t="shared" si="2"/>
        <v/>
      </c>
      <c r="J11" s="39" t="str">
        <f t="shared" si="3"/>
        <v/>
      </c>
      <c r="K11" s="24"/>
    </row>
    <row r="12" ht="18.0" customHeight="1">
      <c r="A12" s="40"/>
      <c r="B12" s="41"/>
      <c r="C12" s="42" t="str">
        <f t="shared" si="1"/>
        <v/>
      </c>
      <c r="D12" s="40"/>
      <c r="E12" s="40"/>
      <c r="F12" s="40"/>
      <c r="G12" s="40"/>
      <c r="H12" s="40"/>
      <c r="I12" s="43" t="str">
        <f t="shared" si="2"/>
        <v/>
      </c>
      <c r="J12" s="43" t="str">
        <f t="shared" si="3"/>
        <v/>
      </c>
      <c r="K12" s="40"/>
    </row>
    <row r="13" ht="18.0" customHeight="1">
      <c r="A13" s="24"/>
      <c r="B13" s="30"/>
      <c r="C13" s="38" t="str">
        <f t="shared" si="1"/>
        <v/>
      </c>
      <c r="D13" s="24"/>
      <c r="E13" s="24"/>
      <c r="F13" s="24"/>
      <c r="G13" s="24"/>
      <c r="H13" s="24"/>
      <c r="I13" s="39" t="str">
        <f t="shared" si="2"/>
        <v/>
      </c>
      <c r="J13" s="39" t="str">
        <f t="shared" si="3"/>
        <v/>
      </c>
      <c r="K13" s="24"/>
    </row>
    <row r="14" ht="18.0" customHeight="1">
      <c r="A14" s="40"/>
      <c r="B14" s="41"/>
      <c r="C14" s="42" t="str">
        <f t="shared" si="1"/>
        <v/>
      </c>
      <c r="D14" s="40"/>
      <c r="E14" s="40"/>
      <c r="F14" s="40"/>
      <c r="G14" s="40"/>
      <c r="H14" s="40"/>
      <c r="I14" s="43" t="str">
        <f t="shared" si="2"/>
        <v/>
      </c>
      <c r="J14" s="43" t="str">
        <f t="shared" si="3"/>
        <v/>
      </c>
      <c r="K14" s="40"/>
    </row>
    <row r="15" ht="18.0" customHeight="1">
      <c r="A15" s="24"/>
      <c r="B15" s="30"/>
      <c r="C15" s="38" t="str">
        <f t="shared" si="1"/>
        <v/>
      </c>
      <c r="D15" s="24"/>
      <c r="E15" s="24"/>
      <c r="F15" s="24"/>
      <c r="G15" s="24"/>
      <c r="H15" s="24"/>
      <c r="I15" s="39" t="str">
        <f t="shared" si="2"/>
        <v/>
      </c>
      <c r="J15" s="39" t="str">
        <f t="shared" si="3"/>
        <v/>
      </c>
      <c r="K15" s="24"/>
    </row>
    <row r="16" ht="18.0" customHeight="1">
      <c r="A16" s="40"/>
      <c r="B16" s="41"/>
      <c r="C16" s="42" t="str">
        <f t="shared" si="1"/>
        <v/>
      </c>
      <c r="D16" s="40"/>
      <c r="E16" s="40"/>
      <c r="F16" s="40"/>
      <c r="G16" s="40"/>
      <c r="H16" s="40"/>
      <c r="I16" s="43" t="str">
        <f t="shared" si="2"/>
        <v/>
      </c>
      <c r="J16" s="43" t="str">
        <f t="shared" si="3"/>
        <v/>
      </c>
      <c r="K16" s="40"/>
    </row>
    <row r="17" ht="18.0" customHeight="1">
      <c r="A17" s="24"/>
      <c r="B17" s="30"/>
      <c r="C17" s="38" t="str">
        <f t="shared" si="1"/>
        <v/>
      </c>
      <c r="D17" s="24"/>
      <c r="E17" s="24"/>
      <c r="F17" s="24"/>
      <c r="G17" s="24"/>
      <c r="H17" s="24"/>
      <c r="I17" s="39" t="str">
        <f t="shared" si="2"/>
        <v/>
      </c>
      <c r="J17" s="39" t="str">
        <f t="shared" si="3"/>
        <v/>
      </c>
      <c r="K17" s="24"/>
    </row>
    <row r="18" ht="18.0" customHeight="1">
      <c r="A18" s="40"/>
      <c r="B18" s="41"/>
      <c r="C18" s="42" t="str">
        <f t="shared" si="1"/>
        <v/>
      </c>
      <c r="D18" s="40"/>
      <c r="E18" s="40"/>
      <c r="F18" s="40"/>
      <c r="G18" s="40"/>
      <c r="H18" s="40"/>
      <c r="I18" s="43" t="str">
        <f t="shared" si="2"/>
        <v/>
      </c>
      <c r="J18" s="43" t="str">
        <f t="shared" si="3"/>
        <v/>
      </c>
      <c r="K18" s="40"/>
    </row>
    <row r="19" ht="18.0" customHeight="1">
      <c r="A19" s="24"/>
      <c r="B19" s="30"/>
      <c r="C19" s="38" t="str">
        <f t="shared" si="1"/>
        <v/>
      </c>
      <c r="D19" s="24"/>
      <c r="E19" s="24"/>
      <c r="F19" s="24"/>
      <c r="G19" s="24"/>
      <c r="H19" s="24"/>
      <c r="I19" s="39" t="str">
        <f t="shared" si="2"/>
        <v/>
      </c>
      <c r="J19" s="39" t="str">
        <f t="shared" si="3"/>
        <v/>
      </c>
      <c r="K19" s="24"/>
    </row>
    <row r="20" ht="18.0" customHeight="1">
      <c r="A20" s="40"/>
      <c r="B20" s="41"/>
      <c r="C20" s="42" t="str">
        <f t="shared" si="1"/>
        <v/>
      </c>
      <c r="D20" s="40"/>
      <c r="E20" s="40"/>
      <c r="F20" s="40"/>
      <c r="G20" s="40"/>
      <c r="H20" s="40"/>
      <c r="I20" s="43" t="str">
        <f t="shared" si="2"/>
        <v/>
      </c>
      <c r="J20" s="43" t="str">
        <f t="shared" si="3"/>
        <v/>
      </c>
      <c r="K20" s="40"/>
    </row>
    <row r="21" ht="18.0" customHeight="1">
      <c r="A21" s="24"/>
      <c r="B21" s="30"/>
      <c r="C21" s="38" t="str">
        <f t="shared" si="1"/>
        <v/>
      </c>
      <c r="D21" s="24"/>
      <c r="E21" s="24"/>
      <c r="F21" s="24"/>
      <c r="G21" s="24"/>
      <c r="H21" s="24"/>
      <c r="I21" s="39" t="str">
        <f t="shared" si="2"/>
        <v/>
      </c>
      <c r="J21" s="39" t="str">
        <f t="shared" si="3"/>
        <v/>
      </c>
      <c r="K21" s="24"/>
    </row>
    <row r="22" ht="18.0" customHeight="1">
      <c r="A22" s="40"/>
      <c r="B22" s="41"/>
      <c r="C22" s="42" t="str">
        <f t="shared" si="1"/>
        <v/>
      </c>
      <c r="D22" s="40"/>
      <c r="E22" s="40"/>
      <c r="F22" s="40"/>
      <c r="G22" s="40"/>
      <c r="H22" s="40"/>
      <c r="I22" s="43" t="str">
        <f t="shared" si="2"/>
        <v/>
      </c>
      <c r="J22" s="43" t="str">
        <f t="shared" si="3"/>
        <v/>
      </c>
      <c r="K22" s="40"/>
    </row>
    <row r="23" ht="18.0" customHeight="1">
      <c r="A23" s="24"/>
      <c r="B23" s="30"/>
      <c r="C23" s="38" t="str">
        <f t="shared" si="1"/>
        <v/>
      </c>
      <c r="D23" s="24"/>
      <c r="E23" s="24"/>
      <c r="F23" s="24"/>
      <c r="G23" s="24"/>
      <c r="H23" s="24"/>
      <c r="I23" s="39" t="str">
        <f t="shared" si="2"/>
        <v/>
      </c>
      <c r="J23" s="39" t="str">
        <f t="shared" si="3"/>
        <v/>
      </c>
      <c r="K23" s="24"/>
    </row>
    <row r="24" ht="18.0" customHeight="1">
      <c r="A24" s="40"/>
      <c r="B24" s="41"/>
      <c r="C24" s="42" t="str">
        <f t="shared" si="1"/>
        <v/>
      </c>
      <c r="D24" s="40"/>
      <c r="E24" s="40"/>
      <c r="F24" s="40"/>
      <c r="G24" s="40"/>
      <c r="H24" s="40"/>
      <c r="I24" s="43" t="str">
        <f t="shared" si="2"/>
        <v/>
      </c>
      <c r="J24" s="43" t="str">
        <f t="shared" si="3"/>
        <v/>
      </c>
      <c r="K24" s="40"/>
    </row>
    <row r="25" ht="18.0" customHeight="1">
      <c r="A25" s="24"/>
      <c r="B25" s="30"/>
      <c r="C25" s="38" t="str">
        <f t="shared" si="1"/>
        <v/>
      </c>
      <c r="D25" s="24"/>
      <c r="E25" s="24"/>
      <c r="F25" s="24"/>
      <c r="G25" s="24"/>
      <c r="H25" s="24"/>
      <c r="I25" s="39" t="str">
        <f t="shared" si="2"/>
        <v/>
      </c>
      <c r="J25" s="39" t="str">
        <f t="shared" si="3"/>
        <v/>
      </c>
      <c r="K25" s="24"/>
    </row>
    <row r="26" ht="18.0" customHeight="1">
      <c r="A26" s="40"/>
      <c r="B26" s="41"/>
      <c r="C26" s="42" t="str">
        <f t="shared" si="1"/>
        <v/>
      </c>
      <c r="D26" s="40"/>
      <c r="E26" s="40"/>
      <c r="F26" s="40"/>
      <c r="G26" s="40"/>
      <c r="H26" s="40"/>
      <c r="I26" s="43" t="str">
        <f t="shared" si="2"/>
        <v/>
      </c>
      <c r="J26" s="43" t="str">
        <f t="shared" si="3"/>
        <v/>
      </c>
      <c r="K26" s="40"/>
    </row>
    <row r="27" ht="18.0" customHeight="1">
      <c r="A27" s="24"/>
      <c r="B27" s="30"/>
      <c r="C27" s="38" t="str">
        <f t="shared" si="1"/>
        <v/>
      </c>
      <c r="D27" s="24"/>
      <c r="E27" s="24"/>
      <c r="F27" s="24"/>
      <c r="G27" s="24"/>
      <c r="H27" s="24"/>
      <c r="I27" s="39" t="str">
        <f t="shared" si="2"/>
        <v/>
      </c>
      <c r="J27" s="39" t="str">
        <f t="shared" si="3"/>
        <v/>
      </c>
      <c r="K27" s="24"/>
    </row>
    <row r="28" ht="18.0" customHeight="1">
      <c r="A28" s="40"/>
      <c r="B28" s="41"/>
      <c r="C28" s="42" t="str">
        <f t="shared" si="1"/>
        <v/>
      </c>
      <c r="D28" s="40"/>
      <c r="E28" s="40"/>
      <c r="F28" s="40"/>
      <c r="G28" s="40"/>
      <c r="H28" s="40"/>
      <c r="I28" s="43" t="str">
        <f t="shared" si="2"/>
        <v/>
      </c>
      <c r="J28" s="43" t="str">
        <f t="shared" si="3"/>
        <v/>
      </c>
      <c r="K28" s="40"/>
    </row>
    <row r="29" ht="18.0" customHeight="1">
      <c r="A29" s="24"/>
      <c r="B29" s="30"/>
      <c r="C29" s="38" t="str">
        <f t="shared" si="1"/>
        <v/>
      </c>
      <c r="D29" s="24"/>
      <c r="E29" s="24"/>
      <c r="F29" s="24"/>
      <c r="G29" s="24"/>
      <c r="H29" s="24"/>
      <c r="I29" s="39" t="str">
        <f t="shared" si="2"/>
        <v/>
      </c>
      <c r="J29" s="39" t="str">
        <f t="shared" si="3"/>
        <v/>
      </c>
      <c r="K29" s="24"/>
    </row>
    <row r="30" ht="18.0" customHeight="1">
      <c r="A30" s="40"/>
      <c r="B30" s="41"/>
      <c r="C30" s="42" t="str">
        <f t="shared" si="1"/>
        <v/>
      </c>
      <c r="D30" s="40"/>
      <c r="E30" s="40"/>
      <c r="F30" s="40"/>
      <c r="G30" s="40"/>
      <c r="H30" s="40"/>
      <c r="I30" s="43" t="str">
        <f t="shared" si="2"/>
        <v/>
      </c>
      <c r="J30" s="43" t="str">
        <f t="shared" si="3"/>
        <v/>
      </c>
      <c r="K30" s="40"/>
    </row>
    <row r="31" ht="18.0" customHeight="1">
      <c r="A31" s="24"/>
      <c r="B31" s="30"/>
      <c r="C31" s="38" t="str">
        <f t="shared" si="1"/>
        <v/>
      </c>
      <c r="D31" s="24"/>
      <c r="E31" s="24"/>
      <c r="F31" s="24"/>
      <c r="G31" s="24"/>
      <c r="H31" s="24"/>
      <c r="I31" s="39" t="str">
        <f t="shared" si="2"/>
        <v/>
      </c>
      <c r="J31" s="39" t="str">
        <f t="shared" si="3"/>
        <v/>
      </c>
      <c r="K31" s="24"/>
    </row>
    <row r="32" ht="18.0" customHeight="1">
      <c r="A32" s="40"/>
      <c r="B32" s="41"/>
      <c r="C32" s="42" t="str">
        <f t="shared" si="1"/>
        <v/>
      </c>
      <c r="D32" s="40"/>
      <c r="E32" s="40"/>
      <c r="F32" s="40"/>
      <c r="G32" s="40"/>
      <c r="H32" s="40"/>
      <c r="I32" s="43" t="str">
        <f t="shared" si="2"/>
        <v/>
      </c>
      <c r="J32" s="43" t="str">
        <f t="shared" si="3"/>
        <v/>
      </c>
      <c r="K32" s="40"/>
    </row>
    <row r="33" ht="18.0" customHeight="1">
      <c r="A33" s="24"/>
      <c r="B33" s="30"/>
      <c r="C33" s="38" t="str">
        <f t="shared" si="1"/>
        <v/>
      </c>
      <c r="D33" s="24"/>
      <c r="E33" s="24"/>
      <c r="F33" s="24"/>
      <c r="G33" s="24"/>
      <c r="H33" s="24"/>
      <c r="I33" s="39" t="str">
        <f t="shared" si="2"/>
        <v/>
      </c>
      <c r="J33" s="39" t="str">
        <f t="shared" si="3"/>
        <v/>
      </c>
      <c r="K33" s="24"/>
    </row>
    <row r="34" ht="18.0" customHeight="1">
      <c r="A34" s="40"/>
      <c r="B34" s="41"/>
      <c r="C34" s="42" t="str">
        <f t="shared" si="1"/>
        <v/>
      </c>
      <c r="D34" s="40"/>
      <c r="E34" s="40"/>
      <c r="F34" s="40"/>
      <c r="G34" s="40"/>
      <c r="H34" s="40"/>
      <c r="I34" s="43" t="str">
        <f t="shared" si="2"/>
        <v/>
      </c>
      <c r="J34" s="43" t="str">
        <f t="shared" si="3"/>
        <v/>
      </c>
      <c r="K34" s="40"/>
    </row>
    <row r="35" ht="18.0" customHeight="1">
      <c r="A35" s="24"/>
      <c r="B35" s="30"/>
      <c r="C35" s="38" t="str">
        <f t="shared" si="1"/>
        <v/>
      </c>
      <c r="D35" s="24"/>
      <c r="E35" s="24"/>
      <c r="F35" s="24"/>
      <c r="G35" s="24"/>
      <c r="H35" s="24"/>
      <c r="I35" s="39" t="str">
        <f t="shared" si="2"/>
        <v/>
      </c>
      <c r="J35" s="39" t="str">
        <f t="shared" si="3"/>
        <v/>
      </c>
      <c r="K35" s="24"/>
    </row>
    <row r="36" ht="18.0" customHeight="1">
      <c r="A36" s="40"/>
      <c r="B36" s="41"/>
      <c r="C36" s="42" t="str">
        <f t="shared" si="1"/>
        <v/>
      </c>
      <c r="D36" s="40"/>
      <c r="E36" s="40"/>
      <c r="F36" s="40"/>
      <c r="G36" s="40"/>
      <c r="H36" s="40"/>
      <c r="I36" s="43" t="str">
        <f t="shared" si="2"/>
        <v/>
      </c>
      <c r="J36" s="43" t="str">
        <f t="shared" si="3"/>
        <v/>
      </c>
      <c r="K36" s="40"/>
    </row>
    <row r="37" ht="18.0" customHeight="1">
      <c r="A37" s="24"/>
      <c r="B37" s="30"/>
      <c r="C37" s="38" t="str">
        <f t="shared" si="1"/>
        <v/>
      </c>
      <c r="D37" s="24"/>
      <c r="E37" s="24"/>
      <c r="F37" s="24"/>
      <c r="G37" s="24"/>
      <c r="H37" s="24"/>
      <c r="I37" s="39" t="str">
        <f t="shared" si="2"/>
        <v/>
      </c>
      <c r="J37" s="39" t="str">
        <f t="shared" si="3"/>
        <v/>
      </c>
      <c r="K37" s="24"/>
    </row>
    <row r="38" ht="18.0" customHeight="1">
      <c r="A38" s="40"/>
      <c r="B38" s="41"/>
      <c r="C38" s="42" t="str">
        <f t="shared" si="1"/>
        <v/>
      </c>
      <c r="D38" s="40"/>
      <c r="E38" s="40"/>
      <c r="F38" s="40"/>
      <c r="G38" s="40"/>
      <c r="H38" s="40"/>
      <c r="I38" s="43" t="str">
        <f t="shared" si="2"/>
        <v/>
      </c>
      <c r="J38" s="43" t="str">
        <f t="shared" si="3"/>
        <v/>
      </c>
      <c r="K38" s="40"/>
    </row>
    <row r="39" ht="18.0" customHeight="1">
      <c r="A39" s="24"/>
      <c r="B39" s="30"/>
      <c r="C39" s="38" t="str">
        <f t="shared" si="1"/>
        <v/>
      </c>
      <c r="D39" s="24"/>
      <c r="E39" s="24"/>
      <c r="F39" s="24"/>
      <c r="G39" s="24"/>
      <c r="H39" s="24"/>
      <c r="I39" s="39" t="str">
        <f t="shared" si="2"/>
        <v/>
      </c>
      <c r="J39" s="39" t="str">
        <f t="shared" si="3"/>
        <v/>
      </c>
      <c r="K39" s="24"/>
    </row>
    <row r="40" ht="18.0" customHeight="1">
      <c r="A40" s="40"/>
      <c r="B40" s="41"/>
      <c r="C40" s="42" t="str">
        <f t="shared" si="1"/>
        <v/>
      </c>
      <c r="D40" s="40"/>
      <c r="E40" s="40"/>
      <c r="F40" s="40"/>
      <c r="G40" s="40"/>
      <c r="H40" s="40"/>
      <c r="I40" s="43" t="str">
        <f t="shared" si="2"/>
        <v/>
      </c>
      <c r="J40" s="43" t="str">
        <f t="shared" si="3"/>
        <v/>
      </c>
      <c r="K40" s="40"/>
    </row>
    <row r="41" ht="18.0" customHeight="1">
      <c r="A41" s="24"/>
      <c r="B41" s="30"/>
      <c r="C41" s="38" t="str">
        <f t="shared" si="1"/>
        <v/>
      </c>
      <c r="D41" s="24"/>
      <c r="E41" s="24"/>
      <c r="F41" s="24"/>
      <c r="G41" s="24"/>
      <c r="H41" s="24"/>
      <c r="I41" s="39" t="str">
        <f t="shared" si="2"/>
        <v/>
      </c>
      <c r="J41" s="39" t="str">
        <f t="shared" si="3"/>
        <v/>
      </c>
      <c r="K41" s="24"/>
    </row>
    <row r="42" ht="18.0" customHeight="1">
      <c r="A42" s="40"/>
      <c r="B42" s="41"/>
      <c r="C42" s="42" t="str">
        <f t="shared" si="1"/>
        <v/>
      </c>
      <c r="D42" s="40"/>
      <c r="E42" s="40"/>
      <c r="F42" s="40"/>
      <c r="G42" s="40"/>
      <c r="H42" s="40"/>
      <c r="I42" s="43" t="str">
        <f t="shared" si="2"/>
        <v/>
      </c>
      <c r="J42" s="43" t="str">
        <f t="shared" si="3"/>
        <v/>
      </c>
      <c r="K42" s="40"/>
    </row>
    <row r="43" ht="18.0" customHeight="1">
      <c r="A43" s="24"/>
      <c r="B43" s="30"/>
      <c r="C43" s="38" t="str">
        <f t="shared" si="1"/>
        <v/>
      </c>
      <c r="D43" s="24"/>
      <c r="E43" s="24"/>
      <c r="F43" s="24"/>
      <c r="G43" s="24"/>
      <c r="H43" s="24"/>
      <c r="I43" s="39" t="str">
        <f t="shared" si="2"/>
        <v/>
      </c>
      <c r="J43" s="39" t="str">
        <f t="shared" si="3"/>
        <v/>
      </c>
      <c r="K43" s="24"/>
    </row>
    <row r="44" ht="18.0" customHeight="1">
      <c r="A44" s="40"/>
      <c r="B44" s="41"/>
      <c r="C44" s="42" t="str">
        <f t="shared" si="1"/>
        <v/>
      </c>
      <c r="D44" s="40"/>
      <c r="E44" s="40"/>
      <c r="F44" s="40"/>
      <c r="G44" s="40"/>
      <c r="H44" s="40"/>
      <c r="I44" s="43" t="str">
        <f t="shared" si="2"/>
        <v/>
      </c>
      <c r="J44" s="43" t="str">
        <f t="shared" si="3"/>
        <v/>
      </c>
      <c r="K44" s="40"/>
    </row>
    <row r="45" ht="18.0" customHeight="1">
      <c r="A45" s="24"/>
      <c r="B45" s="30"/>
      <c r="C45" s="38" t="str">
        <f t="shared" si="1"/>
        <v/>
      </c>
      <c r="D45" s="24"/>
      <c r="E45" s="24"/>
      <c r="F45" s="24"/>
      <c r="G45" s="24"/>
      <c r="H45" s="24"/>
      <c r="I45" s="39" t="str">
        <f t="shared" si="2"/>
        <v/>
      </c>
      <c r="J45" s="39" t="str">
        <f t="shared" si="3"/>
        <v/>
      </c>
      <c r="K45" s="24"/>
    </row>
    <row r="46" ht="18.0" customHeight="1">
      <c r="A46" s="40"/>
      <c r="B46" s="41"/>
      <c r="C46" s="42" t="str">
        <f t="shared" si="1"/>
        <v/>
      </c>
      <c r="D46" s="40"/>
      <c r="E46" s="40"/>
      <c r="F46" s="40"/>
      <c r="G46" s="40"/>
      <c r="H46" s="40"/>
      <c r="I46" s="43" t="str">
        <f t="shared" si="2"/>
        <v/>
      </c>
      <c r="J46" s="43" t="str">
        <f t="shared" si="3"/>
        <v/>
      </c>
      <c r="K46" s="40"/>
    </row>
    <row r="47" ht="18.0" customHeight="1">
      <c r="A47" s="24"/>
      <c r="B47" s="30"/>
      <c r="C47" s="38" t="str">
        <f t="shared" si="1"/>
        <v/>
      </c>
      <c r="D47" s="24"/>
      <c r="E47" s="24"/>
      <c r="F47" s="24"/>
      <c r="G47" s="24"/>
      <c r="H47" s="24"/>
      <c r="I47" s="39" t="str">
        <f t="shared" si="2"/>
        <v/>
      </c>
      <c r="J47" s="39" t="str">
        <f t="shared" si="3"/>
        <v/>
      </c>
      <c r="K47" s="24"/>
    </row>
    <row r="48" ht="18.0" customHeight="1">
      <c r="A48" s="40"/>
      <c r="B48" s="41"/>
      <c r="C48" s="42" t="str">
        <f t="shared" si="1"/>
        <v/>
      </c>
      <c r="D48" s="40"/>
      <c r="E48" s="40"/>
      <c r="F48" s="40"/>
      <c r="G48" s="40"/>
      <c r="H48" s="40"/>
      <c r="I48" s="43" t="str">
        <f t="shared" si="2"/>
        <v/>
      </c>
      <c r="J48" s="43" t="str">
        <f t="shared" si="3"/>
        <v/>
      </c>
      <c r="K48" s="40"/>
    </row>
    <row r="49" ht="18.0" customHeight="1">
      <c r="A49" s="24"/>
      <c r="B49" s="30"/>
      <c r="C49" s="38" t="str">
        <f t="shared" si="1"/>
        <v/>
      </c>
      <c r="D49" s="24"/>
      <c r="E49" s="24"/>
      <c r="F49" s="24"/>
      <c r="G49" s="24"/>
      <c r="H49" s="24"/>
      <c r="I49" s="39" t="str">
        <f t="shared" si="2"/>
        <v/>
      </c>
      <c r="J49" s="39" t="str">
        <f t="shared" si="3"/>
        <v/>
      </c>
      <c r="K49" s="24"/>
    </row>
    <row r="50" ht="18.0" customHeight="1">
      <c r="A50" s="40"/>
      <c r="B50" s="41"/>
      <c r="C50" s="42" t="str">
        <f t="shared" si="1"/>
        <v/>
      </c>
      <c r="D50" s="40"/>
      <c r="E50" s="40"/>
      <c r="F50" s="40"/>
      <c r="G50" s="40"/>
      <c r="H50" s="40"/>
      <c r="I50" s="43" t="str">
        <f t="shared" si="2"/>
        <v/>
      </c>
      <c r="J50" s="43" t="str">
        <f t="shared" si="3"/>
        <v/>
      </c>
      <c r="K50" s="40"/>
    </row>
    <row r="51" ht="18.0" customHeight="1">
      <c r="A51" s="24"/>
      <c r="B51" s="30"/>
      <c r="C51" s="38" t="str">
        <f t="shared" si="1"/>
        <v/>
      </c>
      <c r="D51" s="24"/>
      <c r="E51" s="24"/>
      <c r="F51" s="24"/>
      <c r="G51" s="24"/>
      <c r="H51" s="24"/>
      <c r="I51" s="39" t="str">
        <f t="shared" si="2"/>
        <v/>
      </c>
      <c r="J51" s="39" t="str">
        <f t="shared" si="3"/>
        <v/>
      </c>
      <c r="K51" s="24"/>
    </row>
    <row r="52" ht="18.0" customHeight="1">
      <c r="A52" s="40"/>
      <c r="B52" s="41"/>
      <c r="C52" s="42" t="str">
        <f t="shared" si="1"/>
        <v/>
      </c>
      <c r="D52" s="40"/>
      <c r="E52" s="40"/>
      <c r="F52" s="40"/>
      <c r="G52" s="40"/>
      <c r="H52" s="40"/>
      <c r="I52" s="43" t="str">
        <f t="shared" si="2"/>
        <v/>
      </c>
      <c r="J52" s="43" t="str">
        <f t="shared" si="3"/>
        <v/>
      </c>
      <c r="K52" s="40"/>
    </row>
    <row r="53" ht="18.0" customHeight="1">
      <c r="A53" s="24"/>
      <c r="B53" s="30"/>
      <c r="C53" s="38" t="str">
        <f t="shared" si="1"/>
        <v/>
      </c>
      <c r="D53" s="24"/>
      <c r="E53" s="24"/>
      <c r="F53" s="24"/>
      <c r="G53" s="24"/>
      <c r="H53" s="24"/>
      <c r="I53" s="39" t="str">
        <f t="shared" si="2"/>
        <v/>
      </c>
      <c r="J53" s="39" t="str">
        <f t="shared" si="3"/>
        <v/>
      </c>
      <c r="K53" s="24"/>
    </row>
    <row r="54" ht="18.0" customHeight="1">
      <c r="A54" s="40"/>
      <c r="B54" s="41"/>
      <c r="C54" s="42" t="str">
        <f t="shared" si="1"/>
        <v/>
      </c>
      <c r="D54" s="40"/>
      <c r="E54" s="40"/>
      <c r="F54" s="40"/>
      <c r="G54" s="40"/>
      <c r="H54" s="40"/>
      <c r="I54" s="43" t="str">
        <f t="shared" si="2"/>
        <v/>
      </c>
      <c r="J54" s="43" t="str">
        <f t="shared" si="3"/>
        <v/>
      </c>
      <c r="K54" s="40"/>
    </row>
    <row r="55" ht="18.0" customHeight="1">
      <c r="A55" s="24"/>
      <c r="B55" s="30"/>
      <c r="C55" s="38" t="str">
        <f t="shared" si="1"/>
        <v/>
      </c>
      <c r="D55" s="24"/>
      <c r="E55" s="24"/>
      <c r="F55" s="24"/>
      <c r="G55" s="24"/>
      <c r="H55" s="24"/>
      <c r="I55" s="39" t="str">
        <f t="shared" si="2"/>
        <v/>
      </c>
      <c r="J55" s="39" t="str">
        <f t="shared" si="3"/>
        <v/>
      </c>
      <c r="K55" s="24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8.0"/>
    <col customWidth="1" min="4" max="7" width="12.0"/>
    <col customWidth="1" min="8" max="8" width="8.0"/>
    <col customWidth="1" min="9" max="10" width="12.0"/>
    <col customWidth="1" min="11" max="11" width="47.29"/>
    <col customWidth="1" min="12" max="26" width="8.71"/>
  </cols>
  <sheetData>
    <row r="1" ht="31.5" customHeight="1">
      <c r="A1" s="44" t="s">
        <v>32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5" t="s">
        <v>33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43.5" customHeight="1">
      <c r="A3" s="46" t="s">
        <v>13</v>
      </c>
      <c r="B3" s="46" t="s">
        <v>22</v>
      </c>
      <c r="C3" s="46" t="s">
        <v>23</v>
      </c>
      <c r="D3" s="46" t="s">
        <v>24</v>
      </c>
      <c r="E3" s="46" t="s">
        <v>25</v>
      </c>
      <c r="F3" s="46" t="s">
        <v>34</v>
      </c>
      <c r="G3" s="46" t="s">
        <v>35</v>
      </c>
      <c r="H3" s="46" t="s">
        <v>28</v>
      </c>
      <c r="I3" s="46" t="s">
        <v>29</v>
      </c>
      <c r="J3" s="46" t="s">
        <v>30</v>
      </c>
      <c r="K3" s="46" t="s">
        <v>19</v>
      </c>
    </row>
    <row r="4" ht="19.5" customHeight="1">
      <c r="A4" s="47" t="s">
        <v>36</v>
      </c>
      <c r="B4" s="47">
        <v>117.5</v>
      </c>
      <c r="C4" s="48">
        <f>IFERROR(B4/(1.8^2),"")</f>
        <v>36.2654321</v>
      </c>
      <c r="D4" s="28"/>
      <c r="E4" s="28"/>
      <c r="F4" s="28"/>
      <c r="G4" s="28">
        <v>52.7</v>
      </c>
      <c r="H4" s="28"/>
      <c r="I4" s="49">
        <v>0.0</v>
      </c>
      <c r="J4" s="49">
        <v>0.0</v>
      </c>
      <c r="K4" s="28" t="s">
        <v>37</v>
      </c>
    </row>
    <row r="5" ht="18.0" customHeight="1">
      <c r="A5" s="24"/>
      <c r="B5" s="30"/>
      <c r="C5" s="38" t="str">
        <f t="shared" ref="C5:C55" si="1">IFERROR(IF(B5&lt;&gt;"",B5/(1.8^2),""),"")</f>
        <v/>
      </c>
      <c r="D5" s="24"/>
      <c r="E5" s="24"/>
      <c r="F5" s="24"/>
      <c r="G5" s="24"/>
      <c r="H5" s="24"/>
      <c r="I5" s="39" t="str">
        <f t="shared" ref="I5:I55" si="2">IFERROR(IF(B5&lt;&gt;"",B5-B4,""),"")</f>
        <v/>
      </c>
      <c r="J5" s="39" t="str">
        <f t="shared" ref="J5:J55" si="3">IFERROR(IF(B5&lt;&gt;"",B5-$B$4,""),"")</f>
        <v/>
      </c>
      <c r="K5" s="24"/>
    </row>
    <row r="6" ht="18.0" customHeight="1">
      <c r="A6" s="40"/>
      <c r="B6" s="41"/>
      <c r="C6" s="42" t="str">
        <f t="shared" si="1"/>
        <v/>
      </c>
      <c r="D6" s="40"/>
      <c r="E6" s="40"/>
      <c r="F6" s="40"/>
      <c r="G6" s="40"/>
      <c r="H6" s="40"/>
      <c r="I6" s="43" t="str">
        <f t="shared" si="2"/>
        <v/>
      </c>
      <c r="J6" s="43" t="str">
        <f t="shared" si="3"/>
        <v/>
      </c>
      <c r="K6" s="40"/>
    </row>
    <row r="7" ht="18.0" customHeight="1">
      <c r="A7" s="24"/>
      <c r="B7" s="30"/>
      <c r="C7" s="38" t="str">
        <f t="shared" si="1"/>
        <v/>
      </c>
      <c r="D7" s="24"/>
      <c r="E7" s="24"/>
      <c r="F7" s="24"/>
      <c r="G7" s="24"/>
      <c r="H7" s="24"/>
      <c r="I7" s="39" t="str">
        <f t="shared" si="2"/>
        <v/>
      </c>
      <c r="J7" s="39" t="str">
        <f t="shared" si="3"/>
        <v/>
      </c>
      <c r="K7" s="24"/>
    </row>
    <row r="8" ht="18.0" customHeight="1">
      <c r="A8" s="40"/>
      <c r="B8" s="41"/>
      <c r="C8" s="42" t="str">
        <f t="shared" si="1"/>
        <v/>
      </c>
      <c r="D8" s="40"/>
      <c r="E8" s="40"/>
      <c r="F8" s="40"/>
      <c r="G8" s="40"/>
      <c r="H8" s="40"/>
      <c r="I8" s="43" t="str">
        <f t="shared" si="2"/>
        <v/>
      </c>
      <c r="J8" s="43" t="str">
        <f t="shared" si="3"/>
        <v/>
      </c>
      <c r="K8" s="40"/>
    </row>
    <row r="9" ht="18.0" customHeight="1">
      <c r="A9" s="24"/>
      <c r="B9" s="30"/>
      <c r="C9" s="38" t="str">
        <f t="shared" si="1"/>
        <v/>
      </c>
      <c r="D9" s="24"/>
      <c r="E9" s="24"/>
      <c r="F9" s="24"/>
      <c r="G9" s="24"/>
      <c r="H9" s="24"/>
      <c r="I9" s="39" t="str">
        <f t="shared" si="2"/>
        <v/>
      </c>
      <c r="J9" s="39" t="str">
        <f t="shared" si="3"/>
        <v/>
      </c>
      <c r="K9" s="24"/>
    </row>
    <row r="10" ht="18.0" customHeight="1">
      <c r="A10" s="40"/>
      <c r="B10" s="41"/>
      <c r="C10" s="42" t="str">
        <f t="shared" si="1"/>
        <v/>
      </c>
      <c r="D10" s="40"/>
      <c r="E10" s="40"/>
      <c r="F10" s="40"/>
      <c r="G10" s="40"/>
      <c r="H10" s="40"/>
      <c r="I10" s="43" t="str">
        <f t="shared" si="2"/>
        <v/>
      </c>
      <c r="J10" s="43" t="str">
        <f t="shared" si="3"/>
        <v/>
      </c>
      <c r="K10" s="40"/>
    </row>
    <row r="11" ht="18.0" customHeight="1">
      <c r="A11" s="24"/>
      <c r="B11" s="30"/>
      <c r="C11" s="38" t="str">
        <f t="shared" si="1"/>
        <v/>
      </c>
      <c r="D11" s="24"/>
      <c r="E11" s="24"/>
      <c r="F11" s="24"/>
      <c r="G11" s="24"/>
      <c r="H11" s="24"/>
      <c r="I11" s="39" t="str">
        <f t="shared" si="2"/>
        <v/>
      </c>
      <c r="J11" s="39" t="str">
        <f t="shared" si="3"/>
        <v/>
      </c>
      <c r="K11" s="24"/>
    </row>
    <row r="12" ht="18.0" customHeight="1">
      <c r="A12" s="40"/>
      <c r="B12" s="41"/>
      <c r="C12" s="42" t="str">
        <f t="shared" si="1"/>
        <v/>
      </c>
      <c r="D12" s="40"/>
      <c r="E12" s="40"/>
      <c r="F12" s="40"/>
      <c r="G12" s="40"/>
      <c r="H12" s="40"/>
      <c r="I12" s="43" t="str">
        <f t="shared" si="2"/>
        <v/>
      </c>
      <c r="J12" s="43" t="str">
        <f t="shared" si="3"/>
        <v/>
      </c>
      <c r="K12" s="40"/>
    </row>
    <row r="13" ht="18.0" customHeight="1">
      <c r="A13" s="24"/>
      <c r="B13" s="30"/>
      <c r="C13" s="38" t="str">
        <f t="shared" si="1"/>
        <v/>
      </c>
      <c r="D13" s="24"/>
      <c r="E13" s="24"/>
      <c r="F13" s="24"/>
      <c r="G13" s="24"/>
      <c r="H13" s="24"/>
      <c r="I13" s="39" t="str">
        <f t="shared" si="2"/>
        <v/>
      </c>
      <c r="J13" s="39" t="str">
        <f t="shared" si="3"/>
        <v/>
      </c>
      <c r="K13" s="24"/>
    </row>
    <row r="14" ht="18.0" customHeight="1">
      <c r="A14" s="40"/>
      <c r="B14" s="41"/>
      <c r="C14" s="42" t="str">
        <f t="shared" si="1"/>
        <v/>
      </c>
      <c r="D14" s="40"/>
      <c r="E14" s="40"/>
      <c r="F14" s="40"/>
      <c r="G14" s="40"/>
      <c r="H14" s="40"/>
      <c r="I14" s="43" t="str">
        <f t="shared" si="2"/>
        <v/>
      </c>
      <c r="J14" s="43" t="str">
        <f t="shared" si="3"/>
        <v/>
      </c>
      <c r="K14" s="40"/>
    </row>
    <row r="15" ht="18.0" customHeight="1">
      <c r="A15" s="24"/>
      <c r="B15" s="30"/>
      <c r="C15" s="38" t="str">
        <f t="shared" si="1"/>
        <v/>
      </c>
      <c r="D15" s="24"/>
      <c r="E15" s="24"/>
      <c r="F15" s="24"/>
      <c r="G15" s="24"/>
      <c r="H15" s="24"/>
      <c r="I15" s="39" t="str">
        <f t="shared" si="2"/>
        <v/>
      </c>
      <c r="J15" s="39" t="str">
        <f t="shared" si="3"/>
        <v/>
      </c>
      <c r="K15" s="24"/>
    </row>
    <row r="16" ht="18.0" customHeight="1">
      <c r="A16" s="40"/>
      <c r="B16" s="41"/>
      <c r="C16" s="42" t="str">
        <f t="shared" si="1"/>
        <v/>
      </c>
      <c r="D16" s="40"/>
      <c r="E16" s="40"/>
      <c r="F16" s="40"/>
      <c r="G16" s="40"/>
      <c r="H16" s="40"/>
      <c r="I16" s="43" t="str">
        <f t="shared" si="2"/>
        <v/>
      </c>
      <c r="J16" s="43" t="str">
        <f t="shared" si="3"/>
        <v/>
      </c>
      <c r="K16" s="40"/>
    </row>
    <row r="17" ht="18.0" customHeight="1">
      <c r="A17" s="24"/>
      <c r="B17" s="30"/>
      <c r="C17" s="38" t="str">
        <f t="shared" si="1"/>
        <v/>
      </c>
      <c r="D17" s="24"/>
      <c r="E17" s="24"/>
      <c r="F17" s="24"/>
      <c r="G17" s="24"/>
      <c r="H17" s="24"/>
      <c r="I17" s="39" t="str">
        <f t="shared" si="2"/>
        <v/>
      </c>
      <c r="J17" s="39" t="str">
        <f t="shared" si="3"/>
        <v/>
      </c>
      <c r="K17" s="24"/>
    </row>
    <row r="18" ht="18.0" customHeight="1">
      <c r="A18" s="40"/>
      <c r="B18" s="41"/>
      <c r="C18" s="42" t="str">
        <f t="shared" si="1"/>
        <v/>
      </c>
      <c r="D18" s="40"/>
      <c r="E18" s="40"/>
      <c r="F18" s="40"/>
      <c r="G18" s="40"/>
      <c r="H18" s="40"/>
      <c r="I18" s="43" t="str">
        <f t="shared" si="2"/>
        <v/>
      </c>
      <c r="J18" s="43" t="str">
        <f t="shared" si="3"/>
        <v/>
      </c>
      <c r="K18" s="40"/>
    </row>
    <row r="19" ht="18.0" customHeight="1">
      <c r="A19" s="24"/>
      <c r="B19" s="30"/>
      <c r="C19" s="38" t="str">
        <f t="shared" si="1"/>
        <v/>
      </c>
      <c r="D19" s="24"/>
      <c r="E19" s="24"/>
      <c r="F19" s="24"/>
      <c r="G19" s="24"/>
      <c r="H19" s="24"/>
      <c r="I19" s="39" t="str">
        <f t="shared" si="2"/>
        <v/>
      </c>
      <c r="J19" s="39" t="str">
        <f t="shared" si="3"/>
        <v/>
      </c>
      <c r="K19" s="24"/>
    </row>
    <row r="20" ht="18.0" customHeight="1">
      <c r="A20" s="40"/>
      <c r="B20" s="41"/>
      <c r="C20" s="42" t="str">
        <f t="shared" si="1"/>
        <v/>
      </c>
      <c r="D20" s="40"/>
      <c r="E20" s="40"/>
      <c r="F20" s="40"/>
      <c r="G20" s="40"/>
      <c r="H20" s="40"/>
      <c r="I20" s="43" t="str">
        <f t="shared" si="2"/>
        <v/>
      </c>
      <c r="J20" s="43" t="str">
        <f t="shared" si="3"/>
        <v/>
      </c>
      <c r="K20" s="40"/>
    </row>
    <row r="21" ht="18.0" customHeight="1">
      <c r="A21" s="24"/>
      <c r="B21" s="30"/>
      <c r="C21" s="38" t="str">
        <f t="shared" si="1"/>
        <v/>
      </c>
      <c r="D21" s="24"/>
      <c r="E21" s="24"/>
      <c r="F21" s="24"/>
      <c r="G21" s="24"/>
      <c r="H21" s="24"/>
      <c r="I21" s="39" t="str">
        <f t="shared" si="2"/>
        <v/>
      </c>
      <c r="J21" s="39" t="str">
        <f t="shared" si="3"/>
        <v/>
      </c>
      <c r="K21" s="24"/>
    </row>
    <row r="22" ht="18.0" customHeight="1">
      <c r="A22" s="40"/>
      <c r="B22" s="41"/>
      <c r="C22" s="42" t="str">
        <f t="shared" si="1"/>
        <v/>
      </c>
      <c r="D22" s="40"/>
      <c r="E22" s="40"/>
      <c r="F22" s="40"/>
      <c r="G22" s="40"/>
      <c r="H22" s="40"/>
      <c r="I22" s="43" t="str">
        <f t="shared" si="2"/>
        <v/>
      </c>
      <c r="J22" s="43" t="str">
        <f t="shared" si="3"/>
        <v/>
      </c>
      <c r="K22" s="40"/>
    </row>
    <row r="23" ht="18.0" customHeight="1">
      <c r="A23" s="24"/>
      <c r="B23" s="30"/>
      <c r="C23" s="38" t="str">
        <f t="shared" si="1"/>
        <v/>
      </c>
      <c r="D23" s="24"/>
      <c r="E23" s="24"/>
      <c r="F23" s="24"/>
      <c r="G23" s="24"/>
      <c r="H23" s="24"/>
      <c r="I23" s="39" t="str">
        <f t="shared" si="2"/>
        <v/>
      </c>
      <c r="J23" s="39" t="str">
        <f t="shared" si="3"/>
        <v/>
      </c>
      <c r="K23" s="24"/>
    </row>
    <row r="24" ht="18.0" customHeight="1">
      <c r="A24" s="40"/>
      <c r="B24" s="41"/>
      <c r="C24" s="42" t="str">
        <f t="shared" si="1"/>
        <v/>
      </c>
      <c r="D24" s="40"/>
      <c r="E24" s="40"/>
      <c r="F24" s="40"/>
      <c r="G24" s="40"/>
      <c r="H24" s="40"/>
      <c r="I24" s="43" t="str">
        <f t="shared" si="2"/>
        <v/>
      </c>
      <c r="J24" s="43" t="str">
        <f t="shared" si="3"/>
        <v/>
      </c>
      <c r="K24" s="40"/>
    </row>
    <row r="25" ht="18.0" customHeight="1">
      <c r="A25" s="24"/>
      <c r="B25" s="30"/>
      <c r="C25" s="38" t="str">
        <f t="shared" si="1"/>
        <v/>
      </c>
      <c r="D25" s="24"/>
      <c r="E25" s="24"/>
      <c r="F25" s="24"/>
      <c r="G25" s="24"/>
      <c r="H25" s="24"/>
      <c r="I25" s="39" t="str">
        <f t="shared" si="2"/>
        <v/>
      </c>
      <c r="J25" s="39" t="str">
        <f t="shared" si="3"/>
        <v/>
      </c>
      <c r="K25" s="24"/>
    </row>
    <row r="26" ht="18.0" customHeight="1">
      <c r="A26" s="40"/>
      <c r="B26" s="41"/>
      <c r="C26" s="42" t="str">
        <f t="shared" si="1"/>
        <v/>
      </c>
      <c r="D26" s="40"/>
      <c r="E26" s="40"/>
      <c r="F26" s="40"/>
      <c r="G26" s="40"/>
      <c r="H26" s="40"/>
      <c r="I26" s="43" t="str">
        <f t="shared" si="2"/>
        <v/>
      </c>
      <c r="J26" s="43" t="str">
        <f t="shared" si="3"/>
        <v/>
      </c>
      <c r="K26" s="40"/>
    </row>
    <row r="27" ht="18.0" customHeight="1">
      <c r="A27" s="24"/>
      <c r="B27" s="30"/>
      <c r="C27" s="38" t="str">
        <f t="shared" si="1"/>
        <v/>
      </c>
      <c r="D27" s="24"/>
      <c r="E27" s="24"/>
      <c r="F27" s="24"/>
      <c r="G27" s="24"/>
      <c r="H27" s="24"/>
      <c r="I27" s="39" t="str">
        <f t="shared" si="2"/>
        <v/>
      </c>
      <c r="J27" s="39" t="str">
        <f t="shared" si="3"/>
        <v/>
      </c>
      <c r="K27" s="24"/>
    </row>
    <row r="28" ht="18.0" customHeight="1">
      <c r="A28" s="40"/>
      <c r="B28" s="41"/>
      <c r="C28" s="42" t="str">
        <f t="shared" si="1"/>
        <v/>
      </c>
      <c r="D28" s="40"/>
      <c r="E28" s="40"/>
      <c r="F28" s="40"/>
      <c r="G28" s="40"/>
      <c r="H28" s="40"/>
      <c r="I28" s="43" t="str">
        <f t="shared" si="2"/>
        <v/>
      </c>
      <c r="J28" s="43" t="str">
        <f t="shared" si="3"/>
        <v/>
      </c>
      <c r="K28" s="40"/>
    </row>
    <row r="29" ht="18.0" customHeight="1">
      <c r="A29" s="24"/>
      <c r="B29" s="30"/>
      <c r="C29" s="38" t="str">
        <f t="shared" si="1"/>
        <v/>
      </c>
      <c r="D29" s="24"/>
      <c r="E29" s="24"/>
      <c r="F29" s="24"/>
      <c r="G29" s="24"/>
      <c r="H29" s="24"/>
      <c r="I29" s="39" t="str">
        <f t="shared" si="2"/>
        <v/>
      </c>
      <c r="J29" s="39" t="str">
        <f t="shared" si="3"/>
        <v/>
      </c>
      <c r="K29" s="24"/>
    </row>
    <row r="30" ht="18.0" customHeight="1">
      <c r="A30" s="40"/>
      <c r="B30" s="41"/>
      <c r="C30" s="42" t="str">
        <f t="shared" si="1"/>
        <v/>
      </c>
      <c r="D30" s="40"/>
      <c r="E30" s="40"/>
      <c r="F30" s="40"/>
      <c r="G30" s="40"/>
      <c r="H30" s="40"/>
      <c r="I30" s="43" t="str">
        <f t="shared" si="2"/>
        <v/>
      </c>
      <c r="J30" s="43" t="str">
        <f t="shared" si="3"/>
        <v/>
      </c>
      <c r="K30" s="40"/>
    </row>
    <row r="31" ht="18.0" customHeight="1">
      <c r="A31" s="24"/>
      <c r="B31" s="30"/>
      <c r="C31" s="38" t="str">
        <f t="shared" si="1"/>
        <v/>
      </c>
      <c r="D31" s="24"/>
      <c r="E31" s="24"/>
      <c r="F31" s="24"/>
      <c r="G31" s="24"/>
      <c r="H31" s="24"/>
      <c r="I31" s="39" t="str">
        <f t="shared" si="2"/>
        <v/>
      </c>
      <c r="J31" s="39" t="str">
        <f t="shared" si="3"/>
        <v/>
      </c>
      <c r="K31" s="24"/>
    </row>
    <row r="32" ht="18.0" customHeight="1">
      <c r="A32" s="40"/>
      <c r="B32" s="41"/>
      <c r="C32" s="42" t="str">
        <f t="shared" si="1"/>
        <v/>
      </c>
      <c r="D32" s="40"/>
      <c r="E32" s="40"/>
      <c r="F32" s="40"/>
      <c r="G32" s="40"/>
      <c r="H32" s="40"/>
      <c r="I32" s="43" t="str">
        <f t="shared" si="2"/>
        <v/>
      </c>
      <c r="J32" s="43" t="str">
        <f t="shared" si="3"/>
        <v/>
      </c>
      <c r="K32" s="40"/>
    </row>
    <row r="33" ht="18.0" customHeight="1">
      <c r="A33" s="24"/>
      <c r="B33" s="30"/>
      <c r="C33" s="38" t="str">
        <f t="shared" si="1"/>
        <v/>
      </c>
      <c r="D33" s="24"/>
      <c r="E33" s="24"/>
      <c r="F33" s="24"/>
      <c r="G33" s="24"/>
      <c r="H33" s="24"/>
      <c r="I33" s="39" t="str">
        <f t="shared" si="2"/>
        <v/>
      </c>
      <c r="J33" s="39" t="str">
        <f t="shared" si="3"/>
        <v/>
      </c>
      <c r="K33" s="24"/>
    </row>
    <row r="34" ht="18.0" customHeight="1">
      <c r="A34" s="40"/>
      <c r="B34" s="41"/>
      <c r="C34" s="42" t="str">
        <f t="shared" si="1"/>
        <v/>
      </c>
      <c r="D34" s="40"/>
      <c r="E34" s="40"/>
      <c r="F34" s="40"/>
      <c r="G34" s="40"/>
      <c r="H34" s="40"/>
      <c r="I34" s="43" t="str">
        <f t="shared" si="2"/>
        <v/>
      </c>
      <c r="J34" s="43" t="str">
        <f t="shared" si="3"/>
        <v/>
      </c>
      <c r="K34" s="40"/>
    </row>
    <row r="35" ht="18.0" customHeight="1">
      <c r="A35" s="24"/>
      <c r="B35" s="30"/>
      <c r="C35" s="38" t="str">
        <f t="shared" si="1"/>
        <v/>
      </c>
      <c r="D35" s="24"/>
      <c r="E35" s="24"/>
      <c r="F35" s="24"/>
      <c r="G35" s="24"/>
      <c r="H35" s="24"/>
      <c r="I35" s="39" t="str">
        <f t="shared" si="2"/>
        <v/>
      </c>
      <c r="J35" s="39" t="str">
        <f t="shared" si="3"/>
        <v/>
      </c>
      <c r="K35" s="24"/>
    </row>
    <row r="36" ht="18.0" customHeight="1">
      <c r="A36" s="40"/>
      <c r="B36" s="41"/>
      <c r="C36" s="42" t="str">
        <f t="shared" si="1"/>
        <v/>
      </c>
      <c r="D36" s="40"/>
      <c r="E36" s="40"/>
      <c r="F36" s="40"/>
      <c r="G36" s="40"/>
      <c r="H36" s="40"/>
      <c r="I36" s="43" t="str">
        <f t="shared" si="2"/>
        <v/>
      </c>
      <c r="J36" s="43" t="str">
        <f t="shared" si="3"/>
        <v/>
      </c>
      <c r="K36" s="40"/>
    </row>
    <row r="37" ht="18.0" customHeight="1">
      <c r="A37" s="24"/>
      <c r="B37" s="30"/>
      <c r="C37" s="38" t="str">
        <f t="shared" si="1"/>
        <v/>
      </c>
      <c r="D37" s="24"/>
      <c r="E37" s="24"/>
      <c r="F37" s="24"/>
      <c r="G37" s="24"/>
      <c r="H37" s="24"/>
      <c r="I37" s="39" t="str">
        <f t="shared" si="2"/>
        <v/>
      </c>
      <c r="J37" s="39" t="str">
        <f t="shared" si="3"/>
        <v/>
      </c>
      <c r="K37" s="24"/>
    </row>
    <row r="38" ht="18.0" customHeight="1">
      <c r="A38" s="40"/>
      <c r="B38" s="41"/>
      <c r="C38" s="42" t="str">
        <f t="shared" si="1"/>
        <v/>
      </c>
      <c r="D38" s="40"/>
      <c r="E38" s="40"/>
      <c r="F38" s="40"/>
      <c r="G38" s="40"/>
      <c r="H38" s="40"/>
      <c r="I38" s="43" t="str">
        <f t="shared" si="2"/>
        <v/>
      </c>
      <c r="J38" s="43" t="str">
        <f t="shared" si="3"/>
        <v/>
      </c>
      <c r="K38" s="40"/>
    </row>
    <row r="39" ht="18.0" customHeight="1">
      <c r="A39" s="24"/>
      <c r="B39" s="30"/>
      <c r="C39" s="38" t="str">
        <f t="shared" si="1"/>
        <v/>
      </c>
      <c r="D39" s="24"/>
      <c r="E39" s="24"/>
      <c r="F39" s="24"/>
      <c r="G39" s="24"/>
      <c r="H39" s="24"/>
      <c r="I39" s="39" t="str">
        <f t="shared" si="2"/>
        <v/>
      </c>
      <c r="J39" s="39" t="str">
        <f t="shared" si="3"/>
        <v/>
      </c>
      <c r="K39" s="24"/>
    </row>
    <row r="40" ht="18.0" customHeight="1">
      <c r="A40" s="40"/>
      <c r="B40" s="41"/>
      <c r="C40" s="42" t="str">
        <f t="shared" si="1"/>
        <v/>
      </c>
      <c r="D40" s="40"/>
      <c r="E40" s="40"/>
      <c r="F40" s="40"/>
      <c r="G40" s="40"/>
      <c r="H40" s="40"/>
      <c r="I40" s="43" t="str">
        <f t="shared" si="2"/>
        <v/>
      </c>
      <c r="J40" s="43" t="str">
        <f t="shared" si="3"/>
        <v/>
      </c>
      <c r="K40" s="40"/>
    </row>
    <row r="41" ht="18.0" customHeight="1">
      <c r="A41" s="24"/>
      <c r="B41" s="30"/>
      <c r="C41" s="38" t="str">
        <f t="shared" si="1"/>
        <v/>
      </c>
      <c r="D41" s="24"/>
      <c r="E41" s="24"/>
      <c r="F41" s="24"/>
      <c r="G41" s="24"/>
      <c r="H41" s="24"/>
      <c r="I41" s="39" t="str">
        <f t="shared" si="2"/>
        <v/>
      </c>
      <c r="J41" s="39" t="str">
        <f t="shared" si="3"/>
        <v/>
      </c>
      <c r="K41" s="24"/>
    </row>
    <row r="42" ht="18.0" customHeight="1">
      <c r="A42" s="40"/>
      <c r="B42" s="41"/>
      <c r="C42" s="42" t="str">
        <f t="shared" si="1"/>
        <v/>
      </c>
      <c r="D42" s="40"/>
      <c r="E42" s="40"/>
      <c r="F42" s="40"/>
      <c r="G42" s="40"/>
      <c r="H42" s="40"/>
      <c r="I42" s="43" t="str">
        <f t="shared" si="2"/>
        <v/>
      </c>
      <c r="J42" s="43" t="str">
        <f t="shared" si="3"/>
        <v/>
      </c>
      <c r="K42" s="40"/>
    </row>
    <row r="43" ht="18.0" customHeight="1">
      <c r="A43" s="24"/>
      <c r="B43" s="30"/>
      <c r="C43" s="38" t="str">
        <f t="shared" si="1"/>
        <v/>
      </c>
      <c r="D43" s="24"/>
      <c r="E43" s="24"/>
      <c r="F43" s="24"/>
      <c r="G43" s="24"/>
      <c r="H43" s="24"/>
      <c r="I43" s="39" t="str">
        <f t="shared" si="2"/>
        <v/>
      </c>
      <c r="J43" s="39" t="str">
        <f t="shared" si="3"/>
        <v/>
      </c>
      <c r="K43" s="24"/>
    </row>
    <row r="44" ht="18.0" customHeight="1">
      <c r="A44" s="40"/>
      <c r="B44" s="41"/>
      <c r="C44" s="42" t="str">
        <f t="shared" si="1"/>
        <v/>
      </c>
      <c r="D44" s="40"/>
      <c r="E44" s="40"/>
      <c r="F44" s="40"/>
      <c r="G44" s="40"/>
      <c r="H44" s="40"/>
      <c r="I44" s="43" t="str">
        <f t="shared" si="2"/>
        <v/>
      </c>
      <c r="J44" s="43" t="str">
        <f t="shared" si="3"/>
        <v/>
      </c>
      <c r="K44" s="40"/>
    </row>
    <row r="45" ht="18.0" customHeight="1">
      <c r="A45" s="24"/>
      <c r="B45" s="30"/>
      <c r="C45" s="38" t="str">
        <f t="shared" si="1"/>
        <v/>
      </c>
      <c r="D45" s="24"/>
      <c r="E45" s="24"/>
      <c r="F45" s="24"/>
      <c r="G45" s="24"/>
      <c r="H45" s="24"/>
      <c r="I45" s="39" t="str">
        <f t="shared" si="2"/>
        <v/>
      </c>
      <c r="J45" s="39" t="str">
        <f t="shared" si="3"/>
        <v/>
      </c>
      <c r="K45" s="24"/>
    </row>
    <row r="46" ht="18.0" customHeight="1">
      <c r="A46" s="40"/>
      <c r="B46" s="41"/>
      <c r="C46" s="42" t="str">
        <f t="shared" si="1"/>
        <v/>
      </c>
      <c r="D46" s="40"/>
      <c r="E46" s="40"/>
      <c r="F46" s="40"/>
      <c r="G46" s="40"/>
      <c r="H46" s="40"/>
      <c r="I46" s="43" t="str">
        <f t="shared" si="2"/>
        <v/>
      </c>
      <c r="J46" s="43" t="str">
        <f t="shared" si="3"/>
        <v/>
      </c>
      <c r="K46" s="40"/>
    </row>
    <row r="47" ht="18.0" customHeight="1">
      <c r="A47" s="24"/>
      <c r="B47" s="30"/>
      <c r="C47" s="38" t="str">
        <f t="shared" si="1"/>
        <v/>
      </c>
      <c r="D47" s="24"/>
      <c r="E47" s="24"/>
      <c r="F47" s="24"/>
      <c r="G47" s="24"/>
      <c r="H47" s="24"/>
      <c r="I47" s="39" t="str">
        <f t="shared" si="2"/>
        <v/>
      </c>
      <c r="J47" s="39" t="str">
        <f t="shared" si="3"/>
        <v/>
      </c>
      <c r="K47" s="24"/>
    </row>
    <row r="48" ht="18.0" customHeight="1">
      <c r="A48" s="40"/>
      <c r="B48" s="41"/>
      <c r="C48" s="42" t="str">
        <f t="shared" si="1"/>
        <v/>
      </c>
      <c r="D48" s="40"/>
      <c r="E48" s="40"/>
      <c r="F48" s="40"/>
      <c r="G48" s="40"/>
      <c r="H48" s="40"/>
      <c r="I48" s="43" t="str">
        <f t="shared" si="2"/>
        <v/>
      </c>
      <c r="J48" s="43" t="str">
        <f t="shared" si="3"/>
        <v/>
      </c>
      <c r="K48" s="40"/>
    </row>
    <row r="49" ht="18.0" customHeight="1">
      <c r="A49" s="24"/>
      <c r="B49" s="30"/>
      <c r="C49" s="38" t="str">
        <f t="shared" si="1"/>
        <v/>
      </c>
      <c r="D49" s="24"/>
      <c r="E49" s="24"/>
      <c r="F49" s="24"/>
      <c r="G49" s="24"/>
      <c r="H49" s="24"/>
      <c r="I49" s="39" t="str">
        <f t="shared" si="2"/>
        <v/>
      </c>
      <c r="J49" s="39" t="str">
        <f t="shared" si="3"/>
        <v/>
      </c>
      <c r="K49" s="24"/>
    </row>
    <row r="50" ht="18.0" customHeight="1">
      <c r="A50" s="40"/>
      <c r="B50" s="41"/>
      <c r="C50" s="42" t="str">
        <f t="shared" si="1"/>
        <v/>
      </c>
      <c r="D50" s="40"/>
      <c r="E50" s="40"/>
      <c r="F50" s="40"/>
      <c r="G50" s="40"/>
      <c r="H50" s="40"/>
      <c r="I50" s="43" t="str">
        <f t="shared" si="2"/>
        <v/>
      </c>
      <c r="J50" s="43" t="str">
        <f t="shared" si="3"/>
        <v/>
      </c>
      <c r="K50" s="40"/>
    </row>
    <row r="51" ht="18.0" customHeight="1">
      <c r="A51" s="24"/>
      <c r="B51" s="30"/>
      <c r="C51" s="38" t="str">
        <f t="shared" si="1"/>
        <v/>
      </c>
      <c r="D51" s="24"/>
      <c r="E51" s="24"/>
      <c r="F51" s="24"/>
      <c r="G51" s="24"/>
      <c r="H51" s="24"/>
      <c r="I51" s="39" t="str">
        <f t="shared" si="2"/>
        <v/>
      </c>
      <c r="J51" s="39" t="str">
        <f t="shared" si="3"/>
        <v/>
      </c>
      <c r="K51" s="24"/>
    </row>
    <row r="52" ht="18.0" customHeight="1">
      <c r="A52" s="40"/>
      <c r="B52" s="41"/>
      <c r="C52" s="42" t="str">
        <f t="shared" si="1"/>
        <v/>
      </c>
      <c r="D52" s="40"/>
      <c r="E52" s="40"/>
      <c r="F52" s="40"/>
      <c r="G52" s="40"/>
      <c r="H52" s="40"/>
      <c r="I52" s="43" t="str">
        <f t="shared" si="2"/>
        <v/>
      </c>
      <c r="J52" s="43" t="str">
        <f t="shared" si="3"/>
        <v/>
      </c>
      <c r="K52" s="40"/>
    </row>
    <row r="53" ht="18.0" customHeight="1">
      <c r="A53" s="24"/>
      <c r="B53" s="30"/>
      <c r="C53" s="38" t="str">
        <f t="shared" si="1"/>
        <v/>
      </c>
      <c r="D53" s="24"/>
      <c r="E53" s="24"/>
      <c r="F53" s="24"/>
      <c r="G53" s="24"/>
      <c r="H53" s="24"/>
      <c r="I53" s="39" t="str">
        <f t="shared" si="2"/>
        <v/>
      </c>
      <c r="J53" s="39" t="str">
        <f t="shared" si="3"/>
        <v/>
      </c>
      <c r="K53" s="24"/>
    </row>
    <row r="54" ht="18.0" customHeight="1">
      <c r="A54" s="40"/>
      <c r="B54" s="41"/>
      <c r="C54" s="42" t="str">
        <f t="shared" si="1"/>
        <v/>
      </c>
      <c r="D54" s="40"/>
      <c r="E54" s="40"/>
      <c r="F54" s="40"/>
      <c r="G54" s="40"/>
      <c r="H54" s="40"/>
      <c r="I54" s="43" t="str">
        <f t="shared" si="2"/>
        <v/>
      </c>
      <c r="J54" s="43" t="str">
        <f t="shared" si="3"/>
        <v/>
      </c>
      <c r="K54" s="40"/>
    </row>
    <row r="55" ht="18.0" customHeight="1">
      <c r="A55" s="24"/>
      <c r="B55" s="30"/>
      <c r="C55" s="38" t="str">
        <f t="shared" si="1"/>
        <v/>
      </c>
      <c r="D55" s="24"/>
      <c r="E55" s="24"/>
      <c r="F55" s="24"/>
      <c r="G55" s="24"/>
      <c r="H55" s="24"/>
      <c r="I55" s="39" t="str">
        <f t="shared" si="2"/>
        <v/>
      </c>
      <c r="J55" s="39" t="str">
        <f t="shared" si="3"/>
        <v/>
      </c>
      <c r="K55" s="24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11.0"/>
    <col customWidth="1" min="4" max="4" width="12.0"/>
    <col customWidth="1" min="5" max="6" width="10.0"/>
    <col customWidth="1" min="7" max="7" width="14.0"/>
    <col customWidth="1" min="8" max="8" width="13.0"/>
    <col customWidth="1" min="9" max="9" width="12.0"/>
    <col customWidth="1" min="10" max="10" width="11.0"/>
    <col customWidth="1" min="11" max="11" width="12.0"/>
    <col customWidth="1" min="12" max="12" width="10.0"/>
    <col customWidth="1" min="13" max="13" width="11.0"/>
    <col customWidth="1" min="14" max="14" width="10.0"/>
    <col customWidth="1" min="15" max="26" width="8.71"/>
  </cols>
  <sheetData>
    <row r="1" ht="31.5" customHeight="1">
      <c r="A1" s="50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21.75" customHeight="1">
      <c r="A3" s="51" t="s">
        <v>40</v>
      </c>
      <c r="B3" s="3"/>
      <c r="C3" s="52" t="s">
        <v>2</v>
      </c>
      <c r="D3" s="2"/>
      <c r="E3" s="2"/>
      <c r="F3" s="2"/>
      <c r="G3" s="3"/>
      <c r="H3" s="53" t="s">
        <v>3</v>
      </c>
      <c r="I3" s="2"/>
      <c r="J3" s="2"/>
      <c r="K3" s="2"/>
      <c r="L3" s="3"/>
      <c r="M3" s="54" t="s">
        <v>41</v>
      </c>
      <c r="N3" s="3"/>
    </row>
    <row r="4" ht="43.5" customHeight="1">
      <c r="A4" s="55" t="s">
        <v>42</v>
      </c>
      <c r="B4" s="55" t="s">
        <v>43</v>
      </c>
      <c r="C4" s="33" t="s">
        <v>44</v>
      </c>
      <c r="D4" s="33" t="s">
        <v>45</v>
      </c>
      <c r="E4" s="33" t="s">
        <v>46</v>
      </c>
      <c r="F4" s="33" t="s">
        <v>47</v>
      </c>
      <c r="G4" s="33" t="s">
        <v>48</v>
      </c>
      <c r="H4" s="46" t="s">
        <v>49</v>
      </c>
      <c r="I4" s="46" t="s">
        <v>50</v>
      </c>
      <c r="J4" s="46" t="s">
        <v>44</v>
      </c>
      <c r="K4" s="46" t="s">
        <v>45</v>
      </c>
      <c r="L4" s="46" t="s">
        <v>46</v>
      </c>
      <c r="M4" s="56" t="s">
        <v>51</v>
      </c>
      <c r="N4" s="56" t="s">
        <v>52</v>
      </c>
    </row>
    <row r="5" ht="18.0" customHeight="1">
      <c r="A5" s="57" t="s">
        <v>53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58">
        <f t="shared" ref="M5:M55" si="1">IFERROR(COUNTIF(C5:G5,1),"")</f>
        <v>0</v>
      </c>
      <c r="N5" s="58">
        <f t="shared" ref="N5:N55" si="2">IFERROR(COUNTIF(H5:L5,1),"")</f>
        <v>0</v>
      </c>
    </row>
    <row r="6" ht="18.0" customHeight="1">
      <c r="A6" s="57" t="s">
        <v>54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58">
        <f t="shared" si="1"/>
        <v>0</v>
      </c>
      <c r="N6" s="58">
        <f t="shared" si="2"/>
        <v>0</v>
      </c>
    </row>
    <row r="7" ht="18.0" customHeight="1">
      <c r="A7" s="57" t="s">
        <v>55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58">
        <f t="shared" si="1"/>
        <v>0</v>
      </c>
      <c r="N7" s="58">
        <f t="shared" si="2"/>
        <v>0</v>
      </c>
    </row>
    <row r="8" ht="18.0" customHeight="1">
      <c r="A8" s="57" t="s">
        <v>56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58">
        <f t="shared" si="1"/>
        <v>0</v>
      </c>
      <c r="N8" s="58">
        <f t="shared" si="2"/>
        <v>0</v>
      </c>
    </row>
    <row r="9" ht="18.0" customHeight="1">
      <c r="A9" s="57" t="s">
        <v>57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58">
        <f t="shared" si="1"/>
        <v>0</v>
      </c>
      <c r="N9" s="58">
        <f t="shared" si="2"/>
        <v>0</v>
      </c>
    </row>
    <row r="10" ht="18.0" customHeight="1">
      <c r="A10" s="57" t="s">
        <v>58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58">
        <f t="shared" si="1"/>
        <v>0</v>
      </c>
      <c r="N10" s="58">
        <f t="shared" si="2"/>
        <v>0</v>
      </c>
    </row>
    <row r="11" ht="18.0" customHeight="1">
      <c r="A11" s="57" t="s">
        <v>59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8">
        <f t="shared" si="1"/>
        <v>0</v>
      </c>
      <c r="N11" s="58">
        <f t="shared" si="2"/>
        <v>0</v>
      </c>
    </row>
    <row r="12" ht="18.0" customHeight="1">
      <c r="A12" s="57" t="s">
        <v>60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58">
        <f t="shared" si="1"/>
        <v>0</v>
      </c>
      <c r="N12" s="58">
        <f t="shared" si="2"/>
        <v>0</v>
      </c>
    </row>
    <row r="13" ht="18.0" customHeight="1">
      <c r="A13" s="57" t="s">
        <v>61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58">
        <f t="shared" si="1"/>
        <v>0</v>
      </c>
      <c r="N13" s="58">
        <f t="shared" si="2"/>
        <v>0</v>
      </c>
    </row>
    <row r="14" ht="18.0" customHeight="1">
      <c r="A14" s="57" t="s">
        <v>62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58">
        <f t="shared" si="1"/>
        <v>0</v>
      </c>
      <c r="N14" s="58">
        <f t="shared" si="2"/>
        <v>0</v>
      </c>
    </row>
    <row r="15" ht="18.0" customHeight="1">
      <c r="A15" s="57" t="s">
        <v>63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58">
        <f t="shared" si="1"/>
        <v>0</v>
      </c>
      <c r="N15" s="58">
        <f t="shared" si="2"/>
        <v>0</v>
      </c>
    </row>
    <row r="16" ht="18.0" customHeight="1">
      <c r="A16" s="57" t="s">
        <v>64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58">
        <f t="shared" si="1"/>
        <v>0</v>
      </c>
      <c r="N16" s="58">
        <f t="shared" si="2"/>
        <v>0</v>
      </c>
    </row>
    <row r="17" ht="18.0" customHeight="1">
      <c r="A17" s="57" t="s">
        <v>65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58">
        <f t="shared" si="1"/>
        <v>0</v>
      </c>
      <c r="N17" s="58">
        <f t="shared" si="2"/>
        <v>0</v>
      </c>
    </row>
    <row r="18" ht="18.0" customHeight="1">
      <c r="A18" s="57" t="s">
        <v>66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58">
        <f t="shared" si="1"/>
        <v>0</v>
      </c>
      <c r="N18" s="58">
        <f t="shared" si="2"/>
        <v>0</v>
      </c>
    </row>
    <row r="19" ht="18.0" customHeight="1">
      <c r="A19" s="57" t="s">
        <v>67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58">
        <f t="shared" si="1"/>
        <v>0</v>
      </c>
      <c r="N19" s="58">
        <f t="shared" si="2"/>
        <v>0</v>
      </c>
    </row>
    <row r="20" ht="18.0" customHeight="1">
      <c r="A20" s="57" t="s">
        <v>68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58">
        <f t="shared" si="1"/>
        <v>0</v>
      </c>
      <c r="N20" s="58">
        <f t="shared" si="2"/>
        <v>0</v>
      </c>
    </row>
    <row r="21" ht="18.0" customHeight="1">
      <c r="A21" s="57" t="s">
        <v>69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58">
        <f t="shared" si="1"/>
        <v>0</v>
      </c>
      <c r="N21" s="58">
        <f t="shared" si="2"/>
        <v>0</v>
      </c>
    </row>
    <row r="22" ht="18.0" customHeight="1">
      <c r="A22" s="57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58">
        <f t="shared" si="1"/>
        <v>0</v>
      </c>
      <c r="N22" s="58">
        <f t="shared" si="2"/>
        <v>0</v>
      </c>
    </row>
    <row r="23" ht="18.0" customHeight="1">
      <c r="A23" s="57" t="s">
        <v>71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58">
        <f t="shared" si="1"/>
        <v>0</v>
      </c>
      <c r="N23" s="58">
        <f t="shared" si="2"/>
        <v>0</v>
      </c>
    </row>
    <row r="24" ht="18.0" customHeight="1">
      <c r="A24" s="57" t="s">
        <v>72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58">
        <f t="shared" si="1"/>
        <v>0</v>
      </c>
      <c r="N24" s="58">
        <f t="shared" si="2"/>
        <v>0</v>
      </c>
    </row>
    <row r="25" ht="18.0" customHeight="1">
      <c r="A25" s="57" t="s">
        <v>73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58">
        <f t="shared" si="1"/>
        <v>0</v>
      </c>
      <c r="N25" s="58">
        <f t="shared" si="2"/>
        <v>0</v>
      </c>
    </row>
    <row r="26" ht="18.0" customHeight="1">
      <c r="A26" s="57" t="s">
        <v>74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58">
        <f t="shared" si="1"/>
        <v>0</v>
      </c>
      <c r="N26" s="58">
        <f t="shared" si="2"/>
        <v>0</v>
      </c>
    </row>
    <row r="27" ht="18.0" customHeight="1">
      <c r="A27" s="57" t="s">
        <v>75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58">
        <f t="shared" si="1"/>
        <v>0</v>
      </c>
      <c r="N27" s="58">
        <f t="shared" si="2"/>
        <v>0</v>
      </c>
    </row>
    <row r="28" ht="18.0" customHeight="1">
      <c r="A28" s="57" t="s">
        <v>76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58">
        <f t="shared" si="1"/>
        <v>0</v>
      </c>
      <c r="N28" s="58">
        <f t="shared" si="2"/>
        <v>0</v>
      </c>
    </row>
    <row r="29" ht="18.0" customHeight="1">
      <c r="A29" s="57" t="s">
        <v>77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58">
        <f t="shared" si="1"/>
        <v>0</v>
      </c>
      <c r="N29" s="58">
        <f t="shared" si="2"/>
        <v>0</v>
      </c>
    </row>
    <row r="30" ht="18.0" customHeight="1">
      <c r="A30" s="57" t="s">
        <v>78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58">
        <f t="shared" si="1"/>
        <v>0</v>
      </c>
      <c r="N30" s="58">
        <f t="shared" si="2"/>
        <v>0</v>
      </c>
    </row>
    <row r="31" ht="18.0" customHeight="1">
      <c r="A31" s="57" t="s">
        <v>79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58">
        <f t="shared" si="1"/>
        <v>0</v>
      </c>
      <c r="N31" s="58">
        <f t="shared" si="2"/>
        <v>0</v>
      </c>
    </row>
    <row r="32" ht="18.0" customHeight="1">
      <c r="A32" s="57" t="s">
        <v>80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58">
        <f t="shared" si="1"/>
        <v>0</v>
      </c>
      <c r="N32" s="58">
        <f t="shared" si="2"/>
        <v>0</v>
      </c>
    </row>
    <row r="33" ht="18.0" customHeight="1">
      <c r="A33" s="57" t="s">
        <v>81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58">
        <f t="shared" si="1"/>
        <v>0</v>
      </c>
      <c r="N33" s="58">
        <f t="shared" si="2"/>
        <v>0</v>
      </c>
    </row>
    <row r="34" ht="18.0" customHeight="1">
      <c r="A34" s="57" t="s">
        <v>82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58">
        <f t="shared" si="1"/>
        <v>0</v>
      </c>
      <c r="N34" s="58">
        <f t="shared" si="2"/>
        <v>0</v>
      </c>
    </row>
    <row r="35" ht="18.0" customHeight="1">
      <c r="A35" s="57" t="s">
        <v>83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58">
        <f t="shared" si="1"/>
        <v>0</v>
      </c>
      <c r="N35" s="58">
        <f t="shared" si="2"/>
        <v>0</v>
      </c>
    </row>
    <row r="36" ht="18.0" customHeight="1">
      <c r="A36" s="57" t="s">
        <v>84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58">
        <f t="shared" si="1"/>
        <v>0</v>
      </c>
      <c r="N36" s="58">
        <f t="shared" si="2"/>
        <v>0</v>
      </c>
    </row>
    <row r="37" ht="18.0" customHeight="1">
      <c r="A37" s="57" t="s">
        <v>85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58">
        <f t="shared" si="1"/>
        <v>0</v>
      </c>
      <c r="N37" s="58">
        <f t="shared" si="2"/>
        <v>0</v>
      </c>
    </row>
    <row r="38" ht="18.0" customHeight="1">
      <c r="A38" s="57" t="s">
        <v>86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58">
        <f t="shared" si="1"/>
        <v>0</v>
      </c>
      <c r="N38" s="58">
        <f t="shared" si="2"/>
        <v>0</v>
      </c>
    </row>
    <row r="39" ht="18.0" customHeight="1">
      <c r="A39" s="57" t="s">
        <v>87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58">
        <f t="shared" si="1"/>
        <v>0</v>
      </c>
      <c r="N39" s="58">
        <f t="shared" si="2"/>
        <v>0</v>
      </c>
    </row>
    <row r="40" ht="18.0" customHeight="1">
      <c r="A40" s="57" t="s">
        <v>88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58">
        <f t="shared" si="1"/>
        <v>0</v>
      </c>
      <c r="N40" s="58">
        <f t="shared" si="2"/>
        <v>0</v>
      </c>
    </row>
    <row r="41" ht="18.0" customHeight="1">
      <c r="A41" s="57" t="s">
        <v>89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58">
        <f t="shared" si="1"/>
        <v>0</v>
      </c>
      <c r="N41" s="58">
        <f t="shared" si="2"/>
        <v>0</v>
      </c>
    </row>
    <row r="42" ht="18.0" customHeight="1">
      <c r="A42" s="57" t="s">
        <v>90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58">
        <f t="shared" si="1"/>
        <v>0</v>
      </c>
      <c r="N42" s="58">
        <f t="shared" si="2"/>
        <v>0</v>
      </c>
    </row>
    <row r="43" ht="18.0" customHeight="1">
      <c r="A43" s="57" t="s">
        <v>91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58">
        <f t="shared" si="1"/>
        <v>0</v>
      </c>
      <c r="N43" s="58">
        <f t="shared" si="2"/>
        <v>0</v>
      </c>
    </row>
    <row r="44" ht="18.0" customHeight="1">
      <c r="A44" s="57" t="s">
        <v>92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58">
        <f t="shared" si="1"/>
        <v>0</v>
      </c>
      <c r="N44" s="58">
        <f t="shared" si="2"/>
        <v>0</v>
      </c>
    </row>
    <row r="45" ht="18.0" customHeight="1">
      <c r="A45" s="57" t="s">
        <v>93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58">
        <f t="shared" si="1"/>
        <v>0</v>
      </c>
      <c r="N45" s="58">
        <f t="shared" si="2"/>
        <v>0</v>
      </c>
    </row>
    <row r="46" ht="18.0" customHeight="1">
      <c r="A46" s="57" t="s">
        <v>94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58">
        <f t="shared" si="1"/>
        <v>0</v>
      </c>
      <c r="N46" s="58">
        <f t="shared" si="2"/>
        <v>0</v>
      </c>
    </row>
    <row r="47" ht="18.0" customHeight="1">
      <c r="A47" s="57" t="s">
        <v>95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58">
        <f t="shared" si="1"/>
        <v>0</v>
      </c>
      <c r="N47" s="58">
        <f t="shared" si="2"/>
        <v>0</v>
      </c>
    </row>
    <row r="48" ht="18.0" customHeight="1">
      <c r="A48" s="57" t="s">
        <v>96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58">
        <f t="shared" si="1"/>
        <v>0</v>
      </c>
      <c r="N48" s="58">
        <f t="shared" si="2"/>
        <v>0</v>
      </c>
    </row>
    <row r="49" ht="18.0" customHeight="1">
      <c r="A49" s="57" t="s">
        <v>97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58">
        <f t="shared" si="1"/>
        <v>0</v>
      </c>
      <c r="N49" s="58">
        <f t="shared" si="2"/>
        <v>0</v>
      </c>
    </row>
    <row r="50" ht="18.0" customHeight="1">
      <c r="A50" s="57" t="s">
        <v>98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58">
        <f t="shared" si="1"/>
        <v>0</v>
      </c>
      <c r="N50" s="58">
        <f t="shared" si="2"/>
        <v>0</v>
      </c>
    </row>
    <row r="51" ht="18.0" customHeight="1">
      <c r="A51" s="57" t="s">
        <v>99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58">
        <f t="shared" si="1"/>
        <v>0</v>
      </c>
      <c r="N51" s="58">
        <f t="shared" si="2"/>
        <v>0</v>
      </c>
    </row>
    <row r="52" ht="18.0" customHeight="1">
      <c r="A52" s="57" t="s">
        <v>100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58">
        <f t="shared" si="1"/>
        <v>0</v>
      </c>
      <c r="N52" s="58">
        <f t="shared" si="2"/>
        <v>0</v>
      </c>
    </row>
    <row r="53" ht="18.0" customHeight="1">
      <c r="A53" s="57" t="s">
        <v>101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58">
        <f t="shared" si="1"/>
        <v>0</v>
      </c>
      <c r="N53" s="58">
        <f t="shared" si="2"/>
        <v>0</v>
      </c>
    </row>
    <row r="54" ht="18.0" customHeight="1">
      <c r="A54" s="57" t="s">
        <v>102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58">
        <f t="shared" si="1"/>
        <v>0</v>
      </c>
      <c r="N54" s="58">
        <f t="shared" si="2"/>
        <v>0</v>
      </c>
    </row>
    <row r="55" ht="18.0" customHeight="1">
      <c r="A55" s="57" t="s">
        <v>103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58">
        <f t="shared" si="1"/>
        <v>0</v>
      </c>
      <c r="N55" s="58">
        <f t="shared" si="2"/>
        <v>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N1"/>
    <mergeCell ref="A2:N2"/>
    <mergeCell ref="A3:B3"/>
    <mergeCell ref="C3:G3"/>
    <mergeCell ref="H3:L3"/>
    <mergeCell ref="M3:N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0"/>
    <col customWidth="1" min="2" max="3" width="10.0"/>
    <col customWidth="1" min="4" max="26" width="8.71"/>
  </cols>
  <sheetData>
    <row r="1" ht="31.5" customHeight="1">
      <c r="A1" s="50" t="s">
        <v>104</v>
      </c>
      <c r="B1" s="2"/>
      <c r="C1" s="3"/>
    </row>
    <row r="3" ht="21.75" customHeight="1">
      <c r="A3" s="59" t="s">
        <v>105</v>
      </c>
      <c r="B3" s="2"/>
      <c r="C3" s="3"/>
    </row>
    <row r="4" ht="16.5" customHeight="1">
      <c r="A4" s="60" t="s">
        <v>106</v>
      </c>
    </row>
    <row r="5" ht="16.5" customHeight="1">
      <c r="A5" s="60" t="s">
        <v>107</v>
      </c>
    </row>
    <row r="6" ht="16.5" customHeight="1">
      <c r="A6" s="60" t="s">
        <v>108</v>
      </c>
    </row>
    <row r="7" ht="16.5" customHeight="1">
      <c r="A7" s="60" t="s">
        <v>109</v>
      </c>
    </row>
    <row r="8" ht="16.5" customHeight="1">
      <c r="A8" s="60" t="s">
        <v>110</v>
      </c>
    </row>
    <row r="9" ht="16.5" customHeight="1">
      <c r="A9" s="60" t="s">
        <v>111</v>
      </c>
    </row>
    <row r="10" ht="16.5" customHeight="1">
      <c r="A10" s="60" t="s">
        <v>112</v>
      </c>
    </row>
    <row r="11" ht="16.5" customHeight="1">
      <c r="A11" s="60"/>
    </row>
    <row r="12" ht="21.75" customHeight="1">
      <c r="A12" s="61" t="s">
        <v>113</v>
      </c>
      <c r="B12" s="2"/>
      <c r="C12" s="3"/>
    </row>
    <row r="13" ht="16.5" customHeight="1">
      <c r="A13" s="60" t="s">
        <v>114</v>
      </c>
    </row>
    <row r="14" ht="16.5" customHeight="1">
      <c r="A14" s="60" t="s">
        <v>115</v>
      </c>
    </row>
    <row r="15" ht="16.5" customHeight="1">
      <c r="A15" s="60" t="s">
        <v>116</v>
      </c>
    </row>
    <row r="16" ht="16.5" customHeight="1">
      <c r="A16" s="60" t="s">
        <v>117</v>
      </c>
    </row>
    <row r="17" ht="16.5" customHeight="1">
      <c r="A17" s="60" t="s">
        <v>118</v>
      </c>
    </row>
    <row r="18" ht="16.5" customHeight="1">
      <c r="A18" s="60" t="s">
        <v>119</v>
      </c>
    </row>
    <row r="19" ht="16.5" customHeight="1">
      <c r="A19" s="60" t="s">
        <v>120</v>
      </c>
    </row>
    <row r="20" ht="16.5" customHeight="1">
      <c r="A20" s="60" t="s">
        <v>121</v>
      </c>
    </row>
    <row r="21" ht="16.5" customHeight="1">
      <c r="A21" s="60"/>
    </row>
    <row r="22" ht="21.75" customHeight="1">
      <c r="A22" s="62" t="s">
        <v>122</v>
      </c>
      <c r="B22" s="2"/>
      <c r="C22" s="3"/>
    </row>
    <row r="23" ht="16.5" customHeight="1">
      <c r="A23" s="60" t="s">
        <v>123</v>
      </c>
    </row>
    <row r="24" ht="16.5" customHeight="1">
      <c r="A24" s="60" t="s">
        <v>124</v>
      </c>
    </row>
    <row r="25" ht="16.5" customHeight="1">
      <c r="A25" s="60" t="s">
        <v>125</v>
      </c>
    </row>
    <row r="26" ht="16.5" customHeight="1">
      <c r="A26" s="60" t="s">
        <v>126</v>
      </c>
    </row>
    <row r="27" ht="16.5" customHeight="1">
      <c r="A27" s="60"/>
    </row>
    <row r="28" ht="21.75" customHeight="1">
      <c r="A28" s="63" t="s">
        <v>127</v>
      </c>
      <c r="B28" s="2"/>
      <c r="C28" s="3"/>
    </row>
    <row r="29" ht="16.5" customHeight="1">
      <c r="A29" s="60" t="s">
        <v>128</v>
      </c>
    </row>
    <row r="30" ht="16.5" customHeight="1">
      <c r="A30" s="60" t="s">
        <v>129</v>
      </c>
    </row>
    <row r="31" ht="16.5" customHeight="1">
      <c r="A31" s="60" t="s">
        <v>130</v>
      </c>
    </row>
    <row r="32" ht="16.5" customHeight="1">
      <c r="A32" s="60"/>
    </row>
    <row r="33" ht="21.75" customHeight="1">
      <c r="A33" s="64" t="s">
        <v>131</v>
      </c>
      <c r="B33" s="2"/>
      <c r="C33" s="3"/>
    </row>
    <row r="34" ht="16.5" customHeight="1">
      <c r="A34" s="60" t="s">
        <v>132</v>
      </c>
    </row>
    <row r="35" ht="16.5" customHeight="1">
      <c r="A35" s="60" t="s">
        <v>133</v>
      </c>
    </row>
    <row r="36" ht="16.5" customHeight="1">
      <c r="A36" s="60" t="s">
        <v>134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C1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30:C30"/>
    <mergeCell ref="A31:C31"/>
    <mergeCell ref="A32:C32"/>
    <mergeCell ref="A33:C33"/>
    <mergeCell ref="A34:C34"/>
    <mergeCell ref="A35:C35"/>
    <mergeCell ref="A36:C36"/>
    <mergeCell ref="A23:C23"/>
    <mergeCell ref="A24:C24"/>
    <mergeCell ref="A25:C25"/>
    <mergeCell ref="A26:C26"/>
    <mergeCell ref="A27:C27"/>
    <mergeCell ref="A28:C28"/>
    <mergeCell ref="A29:C2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2026-04-08T21:17:31Z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